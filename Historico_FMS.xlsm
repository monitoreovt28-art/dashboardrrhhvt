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rvi\Downloads\FMS\"/>
    </mc:Choice>
  </mc:AlternateContent>
  <xr:revisionPtr revIDLastSave="0" documentId="13_ncr:1_{C4586920-A537-442B-93D4-8A86C032CDA6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Panel" sheetId="1" r:id="rId1"/>
    <sheet name="Historico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5" i="1" l="1"/>
  <c r="D14" i="1"/>
  <c r="D13" i="1"/>
  <c r="D12" i="1"/>
</calcChain>
</file>

<file path=xl/sharedStrings.xml><?xml version="1.0" encoding="utf-8"?>
<sst xmlns="http://schemas.openxmlformats.org/spreadsheetml/2006/main" count="1128" uniqueCount="154">
  <si>
    <t>HISTÓRICO FMS — VIALTEC S.A.</t>
  </si>
  <si>
    <t>Panel de Control — Importar meses y consultar estado del histórico</t>
  </si>
  <si>
    <t xml:space="preserve">  IMPORTAR MES AL HISTÓRICO</t>
  </si>
  <si>
    <t>1.  Asegurate de tener cerrado el archivo FMS del mes que querés importar.</t>
  </si>
  <si>
    <t>2.  Hacé click en el botón  ►  IMPORTAR MES  que aparece a la derecha.</t>
  </si>
  <si>
    <t>3.  Seleccioná el archivo FMS_MES_AÑO.xlsm correspondiente.</t>
  </si>
  <si>
    <t>4.  Ingresá el mes y año cuando el sistema te lo pida.</t>
  </si>
  <si>
    <t>5.  Los datos se agregarán automáticamente a la hoja Histórico.</t>
  </si>
  <si>
    <t xml:space="preserve">  ESTADO DEL HISTÓRICO</t>
  </si>
  <si>
    <t>Total de registros:</t>
  </si>
  <si>
    <t>Meses cargados:</t>
  </si>
  <si>
    <t>Último mes importado:</t>
  </si>
  <si>
    <t>Conductores únicos:</t>
  </si>
  <si>
    <t>MES</t>
  </si>
  <si>
    <t>AÑO</t>
  </si>
  <si>
    <t>CONDUCTOR</t>
  </si>
  <si>
    <t>VEHÍCULO</t>
  </si>
  <si>
    <t>FECHA INICIO</t>
  </si>
  <si>
    <t>FECHA FIN</t>
  </si>
  <si>
    <t>SDS</t>
  </si>
  <si>
    <t>CONDUCCIÓN PENDIENTES</t>
  </si>
  <si>
    <t>ANTICIPACIÓN</t>
  </si>
  <si>
    <t>USO FRENOS</t>
  </si>
  <si>
    <t>CONSUMO km/l</t>
  </si>
  <si>
    <t>DISTANCIA km</t>
  </si>
  <si>
    <t>RALENTÍ %</t>
  </si>
  <si>
    <t>LITROS RALENTÍ</t>
  </si>
  <si>
    <t>RALENTÍ h:min</t>
  </si>
  <si>
    <t>HS PERM. RALENTÍ</t>
  </si>
  <si>
    <t>EMBALAMIENTO %</t>
  </si>
  <si>
    <t>MODO ECONÓMICO %</t>
  </si>
  <si>
    <t>MODO ESTÁNDAR %</t>
  </si>
  <si>
    <t>MODO POTENCIA %</t>
  </si>
  <si>
    <t>PREMIO</t>
  </si>
  <si>
    <t>DESCUENTOS</t>
  </si>
  <si>
    <t>MAYO</t>
  </si>
  <si>
    <t>ORTIZ</t>
  </si>
  <si>
    <t>HSHS-19</t>
  </si>
  <si>
    <t>NUÑEZ</t>
  </si>
  <si>
    <t>HSHS-20</t>
  </si>
  <si>
    <t>HSHS-22</t>
  </si>
  <si>
    <t>GUITIAN H.</t>
  </si>
  <si>
    <t>JFTH-63</t>
  </si>
  <si>
    <t>CHICA</t>
  </si>
  <si>
    <t>JFTH-64</t>
  </si>
  <si>
    <t>MAIZARES</t>
  </si>
  <si>
    <t>PLFK-14</t>
  </si>
  <si>
    <t>-</t>
  </si>
  <si>
    <t>ARJONA</t>
  </si>
  <si>
    <t>PLFK-15</t>
  </si>
  <si>
    <t>PLFK-16</t>
  </si>
  <si>
    <t>NUNÑEZ</t>
  </si>
  <si>
    <t>CINCINI</t>
  </si>
  <si>
    <t>PLFK-18</t>
  </si>
  <si>
    <t>FAUNDEZ</t>
  </si>
  <si>
    <t>PLFK-19</t>
  </si>
  <si>
    <t>TEJERINA</t>
  </si>
  <si>
    <t>PLFK-26</t>
  </si>
  <si>
    <t>CHOROLQUE</t>
  </si>
  <si>
    <t>PLFK-27</t>
  </si>
  <si>
    <t>VARGAS</t>
  </si>
  <si>
    <t>SGPW 83</t>
  </si>
  <si>
    <t>ALANIS</t>
  </si>
  <si>
    <t>SGPW 84</t>
  </si>
  <si>
    <t>GUAPACHA</t>
  </si>
  <si>
    <t>QUISPE</t>
  </si>
  <si>
    <t>SGPW 85</t>
  </si>
  <si>
    <t>ANDRADE</t>
  </si>
  <si>
    <t>SGPW 86</t>
  </si>
  <si>
    <t>GERONIMO</t>
  </si>
  <si>
    <t>SAWICKI</t>
  </si>
  <si>
    <t>SDSV 68</t>
  </si>
  <si>
    <t>MARTINEZ L.</t>
  </si>
  <si>
    <t>SDSV 69</t>
  </si>
  <si>
    <t>LOPEZ</t>
  </si>
  <si>
    <t>SDSV 71</t>
  </si>
  <si>
    <t>ARAMAYO A.</t>
  </si>
  <si>
    <t>SDSV 72</t>
  </si>
  <si>
    <t>NIETO</t>
  </si>
  <si>
    <t>SDSV 80</t>
  </si>
  <si>
    <t>GUTIERREZ</t>
  </si>
  <si>
    <t>THYZ-81</t>
  </si>
  <si>
    <t>CARRIZO J.</t>
  </si>
  <si>
    <t>THYZ92</t>
  </si>
  <si>
    <t>MOLINA</t>
  </si>
  <si>
    <t>SOLDEVILA</t>
  </si>
  <si>
    <t>THYZ-99</t>
  </si>
  <si>
    <t>HERRERA</t>
  </si>
  <si>
    <t>THZB-11</t>
  </si>
  <si>
    <t>THZB-19</t>
  </si>
  <si>
    <t>MARTINEZ R.</t>
  </si>
  <si>
    <t>THYZ97</t>
  </si>
  <si>
    <t>BACA</t>
  </si>
  <si>
    <t>VBZK19</t>
  </si>
  <si>
    <t>VBZK20</t>
  </si>
  <si>
    <t>VBZK21</t>
  </si>
  <si>
    <t>MIRANDA</t>
  </si>
  <si>
    <t>VBZK22</t>
  </si>
  <si>
    <t>GUZMAN</t>
  </si>
  <si>
    <t>MUÑOZ</t>
  </si>
  <si>
    <t>VBZK23</t>
  </si>
  <si>
    <t>MACIAS</t>
  </si>
  <si>
    <t>VBZK24</t>
  </si>
  <si>
    <t>SORIANO</t>
  </si>
  <si>
    <t>VBZK25</t>
  </si>
  <si>
    <t>VBZK26</t>
  </si>
  <si>
    <t>PEREIRA F.</t>
  </si>
  <si>
    <t>VBZK27</t>
  </si>
  <si>
    <t>MORALES</t>
  </si>
  <si>
    <t>VBZK28</t>
  </si>
  <si>
    <t>MEDINA</t>
  </si>
  <si>
    <t>AD429MP</t>
  </si>
  <si>
    <t>PACHECO</t>
  </si>
  <si>
    <t>ARAMAYO O.</t>
  </si>
  <si>
    <t>AD443FG</t>
  </si>
  <si>
    <t>BURGOS</t>
  </si>
  <si>
    <t>AE289ZB</t>
  </si>
  <si>
    <t>ELIAS</t>
  </si>
  <si>
    <t>MACIEL</t>
  </si>
  <si>
    <t>AE289ZC</t>
  </si>
  <si>
    <t>AE289ZD</t>
  </si>
  <si>
    <t>EGUIBAR</t>
  </si>
  <si>
    <t>AE289ZE</t>
  </si>
  <si>
    <t>AH511JN</t>
  </si>
  <si>
    <t>GONZALEZ</t>
  </si>
  <si>
    <t>AH452VM</t>
  </si>
  <si>
    <t>GUITIAN</t>
  </si>
  <si>
    <t>AH670JI</t>
  </si>
  <si>
    <t>CORDOBA</t>
  </si>
  <si>
    <t>AH771HG</t>
  </si>
  <si>
    <t>ABRIL</t>
  </si>
  <si>
    <t>GUITIAN H</t>
  </si>
  <si>
    <t>JUAREZ</t>
  </si>
  <si>
    <t>LUCENA</t>
  </si>
  <si>
    <t>CARRIZO H.</t>
  </si>
  <si>
    <t>RODRIGUEZ</t>
  </si>
  <si>
    <t>MARZO</t>
  </si>
  <si>
    <t>LUNA</t>
  </si>
  <si>
    <t>MONTENEGRO</t>
  </si>
  <si>
    <t>HSHS-21</t>
  </si>
  <si>
    <t>SANCHEZ</t>
  </si>
  <si>
    <t>FEBRERO</t>
  </si>
  <si>
    <t>CALDERON</t>
  </si>
  <si>
    <t>SALVATIERRA</t>
  </si>
  <si>
    <t>ENERO</t>
  </si>
  <si>
    <t>LLANES</t>
  </si>
  <si>
    <t>BACA D.</t>
  </si>
  <si>
    <t>GUZMAN R.</t>
  </si>
  <si>
    <t xml:space="preserve">SIN DATOS DE FMS </t>
  </si>
  <si>
    <t>CHOCALA</t>
  </si>
  <si>
    <t>44::00:00</t>
  </si>
  <si>
    <t>RUIZ</t>
  </si>
  <si>
    <t>GUTIERREZ A.</t>
  </si>
  <si>
    <t>JUNIO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</si>
</sst>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9" x14ac:knownFonts="1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i/>
      <sz val="10"/>
      <color rgb="FF444444"/>
      <name val="Arial"/>
      <family val="2"/>
    </font>
    <font>
      <b/>
      <sz val="11"/>
      <color rgb="FFFFFFFF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rgb="FF1F3864"/>
      <name val="Arial"/>
      <family val="2"/>
    </font>
    <font>
      <i/>
      <sz val="9"/>
      <color rgb="FF888888"/>
      <name val="Arial"/>
      <family val="2"/>
    </font>
    <font>
      <b/>
      <sz val="10"/>
      <color rgb="FFFFFFFF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1F3864"/>
      </patternFill>
    </fill>
    <fill>
      <patternFill patternType="solid">
        <fgColor rgb="FFEDF2F8"/>
      </patternFill>
    </fill>
    <fill>
      <patternFill patternType="solid">
        <fgColor rgb="FFC55A11"/>
      </patternFill>
    </fill>
    <fill>
      <patternFill patternType="solid">
        <fgColor rgb="FFFFFFFF"/>
      </patternFill>
    </fill>
    <fill>
      <patternFill patternType="solid">
        <fgColor rgb="FFF2F2F2"/>
      </patternFill>
    </fill>
    <fill>
      <patternFill patternType="solid">
        <fgColor rgb="FFDDEEFF"/>
      </patternFill>
    </fill>
    <fill>
      <patternFill patternType="solid">
        <fgColor rgb="FFF2F2F2"/>
        <bgColor indexed="64"/>
      </patternFill>
    </fill>
  </fills>
  <borders count="13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/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CCCCCC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CCCCCC"/>
      </right>
      <top style="medium">
        <color indexed="64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medium">
        <color indexed="64"/>
      </top>
      <bottom style="thin">
        <color rgb="FFCCCCCC"/>
      </bottom>
      <diagonal/>
    </border>
    <border>
      <left style="thin">
        <color rgb="FFCCCCCC"/>
      </left>
      <right style="medium">
        <color indexed="64"/>
      </right>
      <top style="medium">
        <color indexed="64"/>
      </top>
      <bottom style="thin">
        <color rgb="FFCCCCCC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rgb="FFCCCCCC"/>
      </right>
      <top style="medium">
        <color indexed="64"/>
      </top>
      <bottom style="thin">
        <color rgb="FFCCCCCC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8" fillId="2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0" fillId="8" borderId="0" xfId="0" applyFill="1"/>
    <xf numFmtId="164" fontId="0" fillId="8" borderId="0" xfId="0" applyNumberFormat="1" applyFill="1"/>
    <xf numFmtId="164" fontId="0" fillId="0" borderId="0" xfId="0" applyNumberFormat="1"/>
    <xf numFmtId="0" fontId="8" fillId="2" borderId="2" xfId="0" applyFont="1" applyFill="1" applyBorder="1" applyAlignment="1">
      <alignment horizontal="center" vertical="center" wrapText="1"/>
    </xf>
    <xf numFmtId="0" fontId="8" fillId="2" borderId="3" xfId="0" applyFont="1" applyFill="1" applyBorder="1" applyAlignment="1">
      <alignment horizontal="center" vertical="center" wrapText="1"/>
    </xf>
    <xf numFmtId="0" fontId="8" fillId="2" borderId="4" xfId="0" applyFont="1" applyFill="1" applyBorder="1" applyAlignment="1">
      <alignment horizontal="center" vertical="center" wrapText="1"/>
    </xf>
    <xf numFmtId="0" fontId="0" fillId="8" borderId="5" xfId="0" applyFill="1" applyBorder="1"/>
    <xf numFmtId="0" fontId="0" fillId="0" borderId="5" xfId="0" applyBorder="1"/>
    <xf numFmtId="0" fontId="8" fillId="2" borderId="6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wrapText="1"/>
    </xf>
    <xf numFmtId="0" fontId="8" fillId="2" borderId="8" xfId="0" applyFont="1" applyFill="1" applyBorder="1" applyAlignment="1">
      <alignment horizontal="center" vertical="center" wrapText="1"/>
    </xf>
    <xf numFmtId="0" fontId="0" fillId="8" borderId="9" xfId="0" applyFill="1" applyBorder="1"/>
    <xf numFmtId="0" fontId="0" fillId="0" borderId="9" xfId="0" applyBorder="1"/>
    <xf numFmtId="0" fontId="8" fillId="2" borderId="10" xfId="0" applyFont="1" applyFill="1" applyBorder="1" applyAlignment="1">
      <alignment horizontal="center" vertical="center" wrapText="1"/>
    </xf>
    <xf numFmtId="0" fontId="0" fillId="8" borderId="11" xfId="0" applyFill="1" applyBorder="1"/>
    <xf numFmtId="0" fontId="0" fillId="0" borderId="11" xfId="0" applyBorder="1"/>
    <xf numFmtId="0" fontId="8" fillId="2" borderId="12" xfId="0" applyFont="1" applyFill="1" applyBorder="1" applyAlignment="1">
      <alignment horizontal="center" vertical="center" wrapText="1"/>
    </xf>
    <xf numFmtId="2" fontId="0" fillId="0" borderId="0" xfId="0" applyNumberFormat="1"/>
    <xf numFmtId="2" fontId="0" fillId="8" borderId="0" xfId="0" applyNumberFormat="1" applyFill="1"/>
    <xf numFmtId="0" fontId="6" fillId="7" borderId="0" xfId="0" applyFont="1" applyFill="1" applyAlignment="1">
      <alignment horizontal="center" vertical="center"/>
    </xf>
    <xf numFmtId="0" fontId="0" fillId="0" borderId="0" xfId="0"/>
    <xf numFmtId="0" fontId="4" fillId="5" borderId="0" xfId="0" applyFont="1" applyFill="1" applyAlignment="1">
      <alignment horizontal="left" vertical="center" indent="2"/>
    </xf>
    <xf numFmtId="0" fontId="2" fillId="3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left" vertical="center" indent="2"/>
    </xf>
    <xf numFmtId="0" fontId="3" fillId="2" borderId="0" xfId="0" applyFont="1" applyFill="1" applyAlignment="1">
      <alignment horizontal="left" vertical="center"/>
    </xf>
    <xf numFmtId="0" fontId="4" fillId="6" borderId="0" xfId="0" applyFont="1" applyFill="1" applyAlignment="1">
      <alignment horizontal="left" vertical="center" indent="2"/>
    </xf>
    <xf numFmtId="0" fontId="1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0" fillId="0" borderId="0" xfId="0" applyFill="1"/>
    <xf numFmtId="164" fontId="0" fillId="0" borderId="0" xfId="0" applyNumberFormat="1" applyFill="1"/>
    <xf numFmtId="0" fontId="0" fillId="0" borderId="5" xfId="0" applyFill="1" applyBorder="1"/>
    <xf numFmtId="0" fontId="0" fillId="0" borderId="9" xfId="0" applyFill="1" applyBorder="1"/>
    <xf numFmtId="0" fontId="0" fillId="0" borderId="11" xfId="0" applyFill="1" applyBorder="1"/>
    <xf numFmtId="46" fontId="0" fillId="8" borderId="0" xfId="0" applyNumberFormat="1" applyFill="1"/>
    <xf numFmtId="46" fontId="0" fillId="0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15</xdr:row>
      <xdr:rowOff>167640</xdr:rowOff>
    </xdr:from>
    <xdr:to>
      <xdr:col>5</xdr:col>
      <xdr:colOff>952500</xdr:colOff>
      <xdr:row>20</xdr:row>
      <xdr:rowOff>114300</xdr:rowOff>
    </xdr:to>
    <xdr:sp macro="[0]!ImportarMesAlHistorico" textlink="">
      <xdr:nvSpPr>
        <xdr:cNvPr id="2" name="Rectángulo 1">
          <a:extLst>
            <a:ext uri="{FF2B5EF4-FFF2-40B4-BE49-F238E27FC236}">
              <a16:creationId xmlns:a16="http://schemas.microsoft.com/office/drawing/2014/main" id="{F9FD5AD1-BCB8-5C77-645D-84F9A20A75FD}"/>
            </a:ext>
          </a:extLst>
        </xdr:cNvPr>
        <xdr:cNvSpPr/>
      </xdr:nvSpPr>
      <xdr:spPr>
        <a:xfrm>
          <a:off x="2880360" y="3703320"/>
          <a:ext cx="2872740" cy="8153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IMPORTAR MES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18"/>
  <sheetViews>
    <sheetView workbookViewId="0">
      <selection activeCell="K7" sqref="K7"/>
    </sheetView>
  </sheetViews>
  <sheetFormatPr baseColWidth="10" defaultColWidth="8.88671875" defaultRowHeight="14.4" x14ac:dyDescent="0.3"/>
  <cols>
    <col min="1" max="8" width="14" customWidth="1"/>
  </cols>
  <sheetData>
    <row r="1" spans="1:8" ht="36" customHeight="1" x14ac:dyDescent="0.3">
      <c r="A1" s="29" t="s">
        <v>0</v>
      </c>
      <c r="B1" s="23"/>
      <c r="C1" s="23"/>
      <c r="D1" s="23"/>
      <c r="E1" s="23"/>
      <c r="F1" s="23"/>
      <c r="G1" s="23"/>
      <c r="H1" s="23"/>
    </row>
    <row r="2" spans="1:8" ht="18" customHeight="1" x14ac:dyDescent="0.3">
      <c r="A2" s="25" t="s">
        <v>1</v>
      </c>
      <c r="B2" s="23"/>
      <c r="C2" s="23"/>
      <c r="D2" s="23"/>
      <c r="E2" s="23"/>
      <c r="F2" s="23"/>
      <c r="G2" s="23"/>
      <c r="H2" s="23"/>
    </row>
    <row r="3" spans="1:8" ht="10.050000000000001" customHeight="1" x14ac:dyDescent="0.3"/>
    <row r="4" spans="1:8" ht="22.05" customHeight="1" x14ac:dyDescent="0.3">
      <c r="A4" s="30" t="s">
        <v>2</v>
      </c>
      <c r="B4" s="23"/>
      <c r="C4" s="23"/>
      <c r="D4" s="23"/>
      <c r="E4" s="23"/>
      <c r="F4" s="23"/>
      <c r="G4" s="23"/>
      <c r="H4" s="23"/>
    </row>
    <row r="5" spans="1:8" ht="18" customHeight="1" x14ac:dyDescent="0.3">
      <c r="A5" s="24" t="s">
        <v>3</v>
      </c>
      <c r="B5" s="23"/>
      <c r="C5" s="23"/>
      <c r="D5" s="23"/>
      <c r="E5" s="23"/>
      <c r="F5" s="23"/>
      <c r="G5" s="23"/>
      <c r="H5" s="23"/>
    </row>
    <row r="6" spans="1:8" ht="18" customHeight="1" x14ac:dyDescent="0.3">
      <c r="A6" s="28" t="s">
        <v>4</v>
      </c>
      <c r="B6" s="23"/>
      <c r="C6" s="23"/>
      <c r="D6" s="23"/>
      <c r="E6" s="23"/>
      <c r="F6" s="23"/>
      <c r="G6" s="23"/>
      <c r="H6" s="23"/>
    </row>
    <row r="7" spans="1:8" ht="18" customHeight="1" x14ac:dyDescent="0.3">
      <c r="A7" s="24" t="s">
        <v>5</v>
      </c>
      <c r="B7" s="23"/>
      <c r="C7" s="23"/>
      <c r="D7" s="23"/>
      <c r="E7" s="23"/>
      <c r="F7" s="23"/>
      <c r="G7" s="23"/>
      <c r="H7" s="23"/>
    </row>
    <row r="8" spans="1:8" ht="18" customHeight="1" x14ac:dyDescent="0.3">
      <c r="A8" s="28" t="s">
        <v>6</v>
      </c>
      <c r="B8" s="23"/>
      <c r="C8" s="23"/>
      <c r="D8" s="23"/>
      <c r="E8" s="23"/>
      <c r="F8" s="23"/>
      <c r="G8" s="23"/>
      <c r="H8" s="23"/>
    </row>
    <row r="9" spans="1:8" ht="18" customHeight="1" x14ac:dyDescent="0.3">
      <c r="A9" s="24" t="s">
        <v>7</v>
      </c>
      <c r="B9" s="23"/>
      <c r="C9" s="23"/>
      <c r="D9" s="23"/>
      <c r="E9" s="23"/>
      <c r="F9" s="23"/>
      <c r="G9" s="23"/>
      <c r="H9" s="23"/>
    </row>
    <row r="10" spans="1:8" ht="10.050000000000001" customHeight="1" x14ac:dyDescent="0.3"/>
    <row r="11" spans="1:8" ht="22.05" customHeight="1" x14ac:dyDescent="0.3">
      <c r="A11" s="27" t="s">
        <v>8</v>
      </c>
      <c r="B11" s="23"/>
      <c r="C11" s="23"/>
      <c r="D11" s="23"/>
      <c r="E11" s="23"/>
      <c r="F11" s="23"/>
      <c r="G11" s="23"/>
      <c r="H11" s="23"/>
    </row>
    <row r="12" spans="1:8" ht="18" customHeight="1" x14ac:dyDescent="0.3">
      <c r="A12" s="26" t="s">
        <v>9</v>
      </c>
      <c r="B12" s="23"/>
      <c r="C12" s="23"/>
      <c r="D12" s="22">
        <f>COUNTA(Historico!A:A)-1</f>
        <v>361</v>
      </c>
      <c r="E12" s="23"/>
      <c r="F12" s="23"/>
      <c r="G12" s="23"/>
      <c r="H12" s="23"/>
    </row>
    <row r="13" spans="1:8" ht="18" customHeight="1" x14ac:dyDescent="0.3">
      <c r="A13" s="26" t="s">
        <v>10</v>
      </c>
      <c r="B13" s="23"/>
      <c r="C13" s="23"/>
      <c r="D13" s="22" t="e">
        <f>SUMPRODUCT(1/COUNTIF(Historico!A2:A9928,Historico!A2:A9928))</f>
        <v>#DIV/0!</v>
      </c>
      <c r="E13" s="23"/>
      <c r="F13" s="23"/>
      <c r="G13" s="23"/>
      <c r="H13" s="23"/>
    </row>
    <row r="14" spans="1:8" ht="18" customHeight="1" x14ac:dyDescent="0.3">
      <c r="A14" s="26" t="s">
        <v>11</v>
      </c>
      <c r="B14" s="23"/>
      <c r="C14" s="23"/>
      <c r="D14" s="22" t="str">
        <f>IF(COUNTA(Historico!A:A)&gt;1,INDEX(Historico!A:A,COUNTA(Historico!A:A))&amp;" "&amp;INDEX(Historico!B:B,COUNTA(Historico!B:B)),"Sin datos")</f>
        <v>JUNIO 2026</v>
      </c>
      <c r="E14" s="23"/>
      <c r="F14" s="23"/>
      <c r="G14" s="23"/>
      <c r="H14" s="23"/>
    </row>
    <row r="15" spans="1:8" ht="18" customHeight="1" x14ac:dyDescent="0.3">
      <c r="A15" s="26" t="s">
        <v>12</v>
      </c>
      <c r="B15" s="23"/>
      <c r="C15" s="23"/>
      <c r="D15" s="22" t="e">
        <f>SUMPRODUCT(1/COUNTIF(Historico!C2:C9928,Historico!C2:C9928))</f>
        <v>#DIV/0!</v>
      </c>
      <c r="E15" s="23"/>
      <c r="F15" s="23"/>
      <c r="G15" s="23"/>
      <c r="H15" s="23"/>
    </row>
    <row r="17" spans="1:1" ht="10.050000000000001" customHeight="1" x14ac:dyDescent="0.3"/>
    <row r="18" spans="1:1" ht="16.05" customHeight="1" x14ac:dyDescent="0.3">
      <c r="A18" s="2"/>
    </row>
  </sheetData>
  <mergeCells count="17">
    <mergeCell ref="A1:H1"/>
    <mergeCell ref="A4:H4"/>
    <mergeCell ref="A9:H9"/>
    <mergeCell ref="D12:H12"/>
    <mergeCell ref="A13:C13"/>
    <mergeCell ref="D15:H15"/>
    <mergeCell ref="A7:H7"/>
    <mergeCell ref="A2:H2"/>
    <mergeCell ref="A14:C14"/>
    <mergeCell ref="D13:H13"/>
    <mergeCell ref="A11:H11"/>
    <mergeCell ref="D14:H14"/>
    <mergeCell ref="A5:H5"/>
    <mergeCell ref="A12:C12"/>
    <mergeCell ref="A8:H8"/>
    <mergeCell ref="A6:H6"/>
    <mergeCell ref="A15:C15"/>
  </mergeCell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V362"/>
  <sheetViews>
    <sheetView tabSelected="1" zoomScale="90" zoomScaleNormal="90" workbookViewId="0">
      <pane ySplit="1" topLeftCell="A339" activePane="bottomLeft" state="frozen"/>
      <selection pane="bottomLeft" activeCell="C361" sqref="C361"/>
    </sheetView>
  </sheetViews>
  <sheetFormatPr baseColWidth="10" defaultColWidth="8.88671875" defaultRowHeight="14.4" x14ac:dyDescent="0.3"/>
  <cols>
    <col min="1" max="1" width="12" customWidth="1"/>
    <col min="2" max="2" width="7" customWidth="1"/>
    <col min="3" max="3" width="18" customWidth="1"/>
    <col min="4" max="4" width="12" customWidth="1"/>
    <col min="5" max="6" width="13" customWidth="1"/>
    <col min="7" max="7" width="8" style="10" customWidth="1"/>
    <col min="8" max="8" width="20" customWidth="1"/>
    <col min="9" max="9" width="14" customWidth="1"/>
    <col min="10" max="10" width="12" style="15" customWidth="1"/>
    <col min="11" max="12" width="12" customWidth="1"/>
    <col min="13" max="13" width="10" style="18" customWidth="1"/>
    <col min="14" max="14" width="14" customWidth="1"/>
    <col min="15" max="15" width="13" customWidth="1"/>
    <col min="16" max="16" width="16" style="15" customWidth="1"/>
    <col min="17" max="17" width="13" bestFit="1" customWidth="1"/>
    <col min="18" max="18" width="14" style="18" customWidth="1"/>
    <col min="19" max="19" width="14" customWidth="1"/>
    <col min="20" max="20" width="14" style="15" customWidth="1"/>
    <col min="21" max="21" width="10" customWidth="1"/>
    <col min="22" max="22" width="15.88671875" customWidth="1"/>
  </cols>
  <sheetData>
    <row r="1" spans="1:22" ht="36" customHeight="1" x14ac:dyDescent="0.3">
      <c r="A1" s="1" t="s">
        <v>13</v>
      </c>
      <c r="B1" s="1" t="s">
        <v>14</v>
      </c>
      <c r="C1" s="1" t="s">
        <v>15</v>
      </c>
      <c r="D1" s="1" t="s">
        <v>16</v>
      </c>
      <c r="E1" s="1" t="s">
        <v>17</v>
      </c>
      <c r="F1" s="6" t="s">
        <v>18</v>
      </c>
      <c r="G1" s="8" t="s">
        <v>19</v>
      </c>
      <c r="H1" s="11" t="s">
        <v>20</v>
      </c>
      <c r="I1" s="12" t="s">
        <v>21</v>
      </c>
      <c r="J1" s="13" t="s">
        <v>22</v>
      </c>
      <c r="K1" s="7" t="s">
        <v>23</v>
      </c>
      <c r="L1" s="6" t="s">
        <v>24</v>
      </c>
      <c r="M1" s="16" t="s">
        <v>25</v>
      </c>
      <c r="N1" s="12" t="s">
        <v>26</v>
      </c>
      <c r="O1" s="12" t="s">
        <v>27</v>
      </c>
      <c r="P1" s="13" t="s">
        <v>28</v>
      </c>
      <c r="Q1" s="19" t="s">
        <v>29</v>
      </c>
      <c r="R1" s="16" t="s">
        <v>30</v>
      </c>
      <c r="S1" s="12" t="s">
        <v>31</v>
      </c>
      <c r="T1" s="13" t="s">
        <v>32</v>
      </c>
      <c r="U1" s="7" t="s">
        <v>33</v>
      </c>
      <c r="V1" s="1" t="s">
        <v>34</v>
      </c>
    </row>
    <row r="2" spans="1:22" x14ac:dyDescent="0.3">
      <c r="A2" s="3" t="s">
        <v>35</v>
      </c>
      <c r="B2" s="3">
        <v>2026</v>
      </c>
      <c r="C2" s="3" t="s">
        <v>36</v>
      </c>
      <c r="D2" s="3" t="s">
        <v>37</v>
      </c>
      <c r="E2" s="4">
        <v>46154</v>
      </c>
      <c r="F2" s="4">
        <v>46165</v>
      </c>
      <c r="G2" s="9"/>
      <c r="H2" s="3"/>
      <c r="I2" s="3"/>
      <c r="J2" s="14"/>
      <c r="K2" s="3"/>
      <c r="L2" s="3"/>
      <c r="M2" s="17"/>
      <c r="N2" s="3"/>
      <c r="O2" s="3"/>
      <c r="P2" s="14"/>
      <c r="Q2" s="3"/>
      <c r="R2" s="17"/>
      <c r="S2" s="3"/>
      <c r="T2" s="14"/>
      <c r="U2" s="3">
        <v>50</v>
      </c>
      <c r="V2" s="3"/>
    </row>
    <row r="3" spans="1:22" x14ac:dyDescent="0.3">
      <c r="A3" t="s">
        <v>35</v>
      </c>
      <c r="B3">
        <v>2026</v>
      </c>
      <c r="C3" t="s">
        <v>38</v>
      </c>
      <c r="D3" t="s">
        <v>39</v>
      </c>
      <c r="E3" s="5">
        <v>46136</v>
      </c>
      <c r="F3" s="5">
        <v>46143</v>
      </c>
      <c r="U3">
        <v>50</v>
      </c>
    </row>
    <row r="4" spans="1:22" x14ac:dyDescent="0.3">
      <c r="A4" s="3" t="s">
        <v>35</v>
      </c>
      <c r="B4" s="3">
        <v>2026</v>
      </c>
      <c r="C4" s="3" t="s">
        <v>36</v>
      </c>
      <c r="D4" s="3" t="s">
        <v>40</v>
      </c>
      <c r="E4" s="4">
        <v>46136</v>
      </c>
      <c r="F4" s="4">
        <v>46153</v>
      </c>
      <c r="G4" s="9"/>
      <c r="H4" s="3"/>
      <c r="I4" s="3"/>
      <c r="J4" s="14"/>
      <c r="K4" s="3"/>
      <c r="L4" s="3"/>
      <c r="M4" s="17"/>
      <c r="N4" s="3"/>
      <c r="O4" s="3"/>
      <c r="P4" s="14">
        <v>28</v>
      </c>
      <c r="Q4" s="3"/>
      <c r="R4" s="17"/>
      <c r="S4" s="3"/>
      <c r="T4" s="14"/>
      <c r="U4" s="3">
        <v>50</v>
      </c>
      <c r="V4" s="3"/>
    </row>
    <row r="5" spans="1:22" x14ac:dyDescent="0.3">
      <c r="A5" t="s">
        <v>35</v>
      </c>
      <c r="B5">
        <v>2026</v>
      </c>
      <c r="C5" t="s">
        <v>41</v>
      </c>
      <c r="D5" t="s">
        <v>42</v>
      </c>
      <c r="E5" s="5">
        <v>46136</v>
      </c>
      <c r="F5" s="5">
        <v>46165</v>
      </c>
      <c r="U5">
        <v>50</v>
      </c>
    </row>
    <row r="6" spans="1:22" x14ac:dyDescent="0.3">
      <c r="A6" s="3" t="s">
        <v>35</v>
      </c>
      <c r="B6" s="3">
        <v>2026</v>
      </c>
      <c r="C6" s="3" t="s">
        <v>43</v>
      </c>
      <c r="D6" s="3" t="s">
        <v>44</v>
      </c>
      <c r="E6" s="4">
        <v>46148</v>
      </c>
      <c r="F6" s="4">
        <v>46156</v>
      </c>
      <c r="G6" s="9"/>
      <c r="H6" s="3"/>
      <c r="I6" s="3"/>
      <c r="J6" s="14"/>
      <c r="K6" s="3"/>
      <c r="L6" s="3"/>
      <c r="M6" s="17"/>
      <c r="N6" s="3"/>
      <c r="O6" s="3"/>
      <c r="P6" s="14">
        <v>15</v>
      </c>
      <c r="Q6" s="3"/>
      <c r="R6" s="17"/>
      <c r="S6" s="3"/>
      <c r="T6" s="14"/>
      <c r="U6" s="3">
        <v>50</v>
      </c>
      <c r="V6" s="3"/>
    </row>
    <row r="7" spans="1:22" x14ac:dyDescent="0.3">
      <c r="A7" t="s">
        <v>35</v>
      </c>
      <c r="B7">
        <v>2026</v>
      </c>
      <c r="C7" t="s">
        <v>45</v>
      </c>
      <c r="D7" t="s">
        <v>46</v>
      </c>
      <c r="E7" s="5">
        <v>46136</v>
      </c>
      <c r="F7" s="5">
        <v>46165</v>
      </c>
      <c r="P7" s="15">
        <v>46</v>
      </c>
      <c r="R7" s="18" t="s">
        <v>47</v>
      </c>
      <c r="S7" t="s">
        <v>47</v>
      </c>
      <c r="T7" s="15" t="s">
        <v>47</v>
      </c>
      <c r="U7">
        <v>50</v>
      </c>
    </row>
    <row r="8" spans="1:22" x14ac:dyDescent="0.3">
      <c r="A8" s="3" t="s">
        <v>35</v>
      </c>
      <c r="B8" s="3">
        <v>2026</v>
      </c>
      <c r="C8" s="3" t="s">
        <v>48</v>
      </c>
      <c r="D8" s="3" t="s">
        <v>49</v>
      </c>
      <c r="E8" s="4">
        <v>46136</v>
      </c>
      <c r="F8" s="4">
        <v>46165</v>
      </c>
      <c r="G8" s="9"/>
      <c r="H8" s="3"/>
      <c r="I8" s="3"/>
      <c r="J8" s="14"/>
      <c r="K8" s="3"/>
      <c r="L8" s="3"/>
      <c r="M8" s="17"/>
      <c r="N8" s="3"/>
      <c r="O8" s="3"/>
      <c r="P8" s="14"/>
      <c r="Q8" s="3"/>
      <c r="R8" s="17" t="s">
        <v>47</v>
      </c>
      <c r="S8" s="3" t="s">
        <v>47</v>
      </c>
      <c r="T8" s="14" t="s">
        <v>47</v>
      </c>
      <c r="U8" s="3">
        <v>50</v>
      </c>
      <c r="V8" s="3"/>
    </row>
    <row r="9" spans="1:22" x14ac:dyDescent="0.3">
      <c r="A9" t="s">
        <v>35</v>
      </c>
      <c r="B9">
        <v>2026</v>
      </c>
      <c r="C9" t="s">
        <v>38</v>
      </c>
      <c r="D9" t="s">
        <v>50</v>
      </c>
      <c r="E9" s="5">
        <v>46144</v>
      </c>
      <c r="F9" s="5">
        <v>46165</v>
      </c>
      <c r="G9" s="10">
        <v>79</v>
      </c>
      <c r="H9">
        <v>63</v>
      </c>
      <c r="I9">
        <v>87</v>
      </c>
      <c r="J9" s="15">
        <v>87</v>
      </c>
      <c r="K9">
        <v>2.56</v>
      </c>
      <c r="L9">
        <v>4837</v>
      </c>
      <c r="M9" s="18">
        <v>29.1</v>
      </c>
      <c r="N9">
        <v>88</v>
      </c>
      <c r="O9">
        <v>1.5053472222222199</v>
      </c>
      <c r="Q9" s="20">
        <v>0.5</v>
      </c>
      <c r="R9" s="18">
        <v>47.92</v>
      </c>
      <c r="S9">
        <v>51.74</v>
      </c>
      <c r="T9" s="15">
        <v>0.33</v>
      </c>
    </row>
    <row r="10" spans="1:22" x14ac:dyDescent="0.3">
      <c r="A10" s="3" t="s">
        <v>35</v>
      </c>
      <c r="B10" s="3">
        <v>2026</v>
      </c>
      <c r="C10" s="3" t="s">
        <v>51</v>
      </c>
      <c r="D10" s="3" t="s">
        <v>50</v>
      </c>
      <c r="E10" s="4">
        <v>46144</v>
      </c>
      <c r="F10" s="4">
        <v>46165</v>
      </c>
      <c r="G10" s="9">
        <v>79</v>
      </c>
      <c r="H10" s="3">
        <v>63</v>
      </c>
      <c r="I10" s="3">
        <v>87</v>
      </c>
      <c r="J10" s="14">
        <v>87</v>
      </c>
      <c r="K10" s="3">
        <v>2.56</v>
      </c>
      <c r="L10" s="3">
        <v>4837</v>
      </c>
      <c r="M10" s="17">
        <v>29.1</v>
      </c>
      <c r="N10" s="3">
        <v>88</v>
      </c>
      <c r="O10" s="3">
        <v>1.5053472222222199</v>
      </c>
      <c r="P10" s="14">
        <v>26</v>
      </c>
      <c r="Q10" s="21">
        <v>0.5</v>
      </c>
      <c r="R10" s="17">
        <v>47.92</v>
      </c>
      <c r="S10" s="3">
        <v>51.74</v>
      </c>
      <c r="T10" s="14">
        <v>0.33</v>
      </c>
      <c r="U10" s="3">
        <v>74.5</v>
      </c>
      <c r="V10" s="3">
        <v>1</v>
      </c>
    </row>
    <row r="11" spans="1:22" x14ac:dyDescent="0.3">
      <c r="A11" t="s">
        <v>35</v>
      </c>
      <c r="B11">
        <v>2026</v>
      </c>
      <c r="C11" t="s">
        <v>52</v>
      </c>
      <c r="D11" t="s">
        <v>53</v>
      </c>
      <c r="E11" s="5">
        <v>46136</v>
      </c>
      <c r="F11" s="5">
        <v>46165</v>
      </c>
      <c r="G11" s="10">
        <v>58</v>
      </c>
      <c r="H11">
        <v>26</v>
      </c>
      <c r="I11">
        <v>86</v>
      </c>
      <c r="J11" s="15">
        <v>64</v>
      </c>
      <c r="K11">
        <v>2.4500000000000002</v>
      </c>
      <c r="L11">
        <v>7268</v>
      </c>
      <c r="M11" s="18">
        <v>22.7</v>
      </c>
      <c r="N11">
        <v>83</v>
      </c>
      <c r="O11">
        <v>1.59666666666667</v>
      </c>
      <c r="P11" s="15">
        <v>49</v>
      </c>
      <c r="Q11" s="20">
        <v>0.6</v>
      </c>
      <c r="R11" s="18">
        <v>0</v>
      </c>
      <c r="S11">
        <v>99.97</v>
      </c>
      <c r="T11" s="15">
        <v>0.03</v>
      </c>
      <c r="U11">
        <v>64</v>
      </c>
      <c r="V11">
        <v>1</v>
      </c>
    </row>
    <row r="12" spans="1:22" x14ac:dyDescent="0.3">
      <c r="A12" s="3" t="s">
        <v>35</v>
      </c>
      <c r="B12" s="3">
        <v>2026</v>
      </c>
      <c r="C12" s="3" t="s">
        <v>54</v>
      </c>
      <c r="D12" s="3" t="s">
        <v>55</v>
      </c>
      <c r="E12" s="4">
        <v>46136</v>
      </c>
      <c r="F12" s="4">
        <v>46165</v>
      </c>
      <c r="G12" s="9">
        <v>54</v>
      </c>
      <c r="H12" s="3">
        <v>37</v>
      </c>
      <c r="I12" s="3">
        <v>62</v>
      </c>
      <c r="J12" s="14">
        <v>64</v>
      </c>
      <c r="K12" s="3">
        <v>2.5100000000000002</v>
      </c>
      <c r="L12" s="3">
        <v>6543</v>
      </c>
      <c r="M12" s="17">
        <v>23.6</v>
      </c>
      <c r="N12" s="3">
        <v>95</v>
      </c>
      <c r="O12" s="3">
        <v>1.5761574074074101</v>
      </c>
      <c r="P12" s="14">
        <v>49</v>
      </c>
      <c r="Q12" s="21">
        <v>0</v>
      </c>
      <c r="R12" s="17">
        <v>0.06</v>
      </c>
      <c r="S12" s="3">
        <v>97.73</v>
      </c>
      <c r="T12" s="14">
        <v>0</v>
      </c>
      <c r="U12" s="3">
        <v>77</v>
      </c>
      <c r="V12" s="3">
        <v>0</v>
      </c>
    </row>
    <row r="13" spans="1:22" x14ac:dyDescent="0.3">
      <c r="A13" t="s">
        <v>35</v>
      </c>
      <c r="B13">
        <v>2026</v>
      </c>
      <c r="C13" t="s">
        <v>56</v>
      </c>
      <c r="D13" t="s">
        <v>57</v>
      </c>
      <c r="E13" s="5">
        <v>46136</v>
      </c>
      <c r="F13" s="5">
        <v>46165</v>
      </c>
      <c r="G13" s="10">
        <v>42</v>
      </c>
      <c r="H13">
        <v>36</v>
      </c>
      <c r="I13">
        <v>47</v>
      </c>
      <c r="J13" s="15">
        <v>44</v>
      </c>
      <c r="K13">
        <v>2.48</v>
      </c>
      <c r="L13">
        <v>6156</v>
      </c>
      <c r="M13" s="18">
        <v>25</v>
      </c>
      <c r="N13">
        <v>83</v>
      </c>
      <c r="O13">
        <v>1.5999305555555601</v>
      </c>
      <c r="P13" s="15">
        <v>42</v>
      </c>
      <c r="Q13" s="20">
        <v>1.6</v>
      </c>
      <c r="R13" s="18">
        <v>83.24</v>
      </c>
      <c r="S13">
        <v>0</v>
      </c>
      <c r="T13" s="15">
        <v>16.760000000000002</v>
      </c>
      <c r="U13">
        <v>41</v>
      </c>
      <c r="V13">
        <v>2</v>
      </c>
    </row>
    <row r="14" spans="1:22" x14ac:dyDescent="0.3">
      <c r="A14" s="3" t="s">
        <v>35</v>
      </c>
      <c r="B14" s="3">
        <v>2026</v>
      </c>
      <c r="C14" s="3" t="s">
        <v>58</v>
      </c>
      <c r="D14" s="3" t="s">
        <v>59</v>
      </c>
      <c r="E14" s="4">
        <v>46136</v>
      </c>
      <c r="F14" s="4">
        <v>46165</v>
      </c>
      <c r="G14" s="9">
        <v>74</v>
      </c>
      <c r="H14" s="3">
        <v>71</v>
      </c>
      <c r="I14" s="3">
        <v>85</v>
      </c>
      <c r="J14" s="14">
        <v>66</v>
      </c>
      <c r="K14" s="3">
        <v>2.5099999999999998</v>
      </c>
      <c r="L14" s="3">
        <v>6468</v>
      </c>
      <c r="M14" s="17">
        <v>21.8</v>
      </c>
      <c r="N14" s="3">
        <v>81</v>
      </c>
      <c r="O14" s="3">
        <v>1.4087037037037</v>
      </c>
      <c r="P14" s="14">
        <v>46</v>
      </c>
      <c r="Q14" s="21">
        <v>0.1</v>
      </c>
      <c r="R14" s="17">
        <v>0.02</v>
      </c>
      <c r="S14" s="3">
        <v>99.37</v>
      </c>
      <c r="T14" s="14">
        <v>0.61</v>
      </c>
      <c r="U14" s="3">
        <v>87</v>
      </c>
      <c r="V14" s="3">
        <v>0</v>
      </c>
    </row>
    <row r="15" spans="1:22" x14ac:dyDescent="0.3">
      <c r="A15" t="s">
        <v>35</v>
      </c>
      <c r="B15">
        <v>2026</v>
      </c>
      <c r="C15" t="s">
        <v>60</v>
      </c>
      <c r="D15" t="s">
        <v>61</v>
      </c>
      <c r="E15" s="5">
        <v>46136</v>
      </c>
      <c r="F15" s="5">
        <v>46165</v>
      </c>
      <c r="G15" s="10">
        <v>79.024465355004281</v>
      </c>
      <c r="H15">
        <v>42.91907613344739</v>
      </c>
      <c r="I15">
        <v>95.979298545765616</v>
      </c>
      <c r="J15" s="15">
        <v>99.001881950384941</v>
      </c>
      <c r="K15">
        <v>2.5114302822925572</v>
      </c>
      <c r="L15">
        <v>5845</v>
      </c>
      <c r="M15" s="18">
        <v>28.983182207014544</v>
      </c>
      <c r="N15">
        <v>89</v>
      </c>
      <c r="O15">
        <v>1.9979166666666679</v>
      </c>
      <c r="P15" s="15">
        <v>41</v>
      </c>
      <c r="Q15" s="20">
        <v>0.19962360992301112</v>
      </c>
      <c r="R15" s="18">
        <v>7.37</v>
      </c>
      <c r="S15">
        <v>91.59</v>
      </c>
      <c r="T15" s="15">
        <v>1.04</v>
      </c>
      <c r="U15">
        <v>74.512232677502141</v>
      </c>
      <c r="V15">
        <v>1</v>
      </c>
    </row>
    <row r="16" spans="1:22" x14ac:dyDescent="0.3">
      <c r="A16" s="3" t="s">
        <v>35</v>
      </c>
      <c r="B16" s="3">
        <v>2026</v>
      </c>
      <c r="C16" s="3" t="s">
        <v>62</v>
      </c>
      <c r="D16" s="3" t="s">
        <v>63</v>
      </c>
      <c r="E16" s="4">
        <v>46136</v>
      </c>
      <c r="F16" s="4">
        <v>46156</v>
      </c>
      <c r="G16" s="9">
        <v>94.045073678127707</v>
      </c>
      <c r="H16" s="3">
        <v>93.078878936723484</v>
      </c>
      <c r="I16" s="3">
        <v>95.01126841953193</v>
      </c>
      <c r="J16" s="14">
        <v>96.033805258595777</v>
      </c>
      <c r="K16" s="3">
        <v>3.1351545796012714</v>
      </c>
      <c r="L16" s="3">
        <v>6922</v>
      </c>
      <c r="M16" s="17">
        <v>23.457208899162094</v>
      </c>
      <c r="N16" s="3">
        <v>76</v>
      </c>
      <c r="O16" s="3">
        <v>1.4585300925925921</v>
      </c>
      <c r="P16" s="14">
        <v>34</v>
      </c>
      <c r="Q16" s="21">
        <v>0</v>
      </c>
      <c r="R16" s="17">
        <v>0</v>
      </c>
      <c r="S16" s="3">
        <v>100</v>
      </c>
      <c r="T16" s="14">
        <v>0</v>
      </c>
      <c r="U16" s="3">
        <v>97.022536839063861</v>
      </c>
      <c r="V16" s="3">
        <v>0</v>
      </c>
    </row>
    <row r="17" spans="1:22" x14ac:dyDescent="0.3">
      <c r="A17" t="s">
        <v>35</v>
      </c>
      <c r="B17">
        <v>2026</v>
      </c>
      <c r="C17" t="s">
        <v>64</v>
      </c>
      <c r="D17" t="s">
        <v>63</v>
      </c>
      <c r="E17" s="5">
        <v>46157</v>
      </c>
      <c r="F17" s="5">
        <v>46165</v>
      </c>
      <c r="G17" s="10">
        <v>56.026160889470241</v>
      </c>
      <c r="H17">
        <v>17.941137998691957</v>
      </c>
      <c r="I17">
        <v>76.973839110529752</v>
      </c>
      <c r="J17" s="15">
        <v>73.954218443427081</v>
      </c>
      <c r="K17">
        <v>2.9059450621321128</v>
      </c>
      <c r="L17">
        <v>3058</v>
      </c>
      <c r="M17" s="18">
        <v>12.378221059516022</v>
      </c>
      <c r="N17">
        <v>18</v>
      </c>
      <c r="O17">
        <v>0.29982638888888902</v>
      </c>
      <c r="P17" s="15">
        <v>6</v>
      </c>
      <c r="Q17" s="20">
        <v>0.29901896664486594</v>
      </c>
      <c r="R17" s="18">
        <v>0</v>
      </c>
      <c r="S17">
        <v>99.99</v>
      </c>
      <c r="T17" s="15">
        <v>0.01</v>
      </c>
      <c r="U17">
        <v>78.013080444735124</v>
      </c>
      <c r="V17">
        <v>0</v>
      </c>
    </row>
    <row r="18" spans="1:22" x14ac:dyDescent="0.3">
      <c r="A18" s="3" t="s">
        <v>35</v>
      </c>
      <c r="B18" s="3">
        <v>2026</v>
      </c>
      <c r="C18" s="3" t="s">
        <v>65</v>
      </c>
      <c r="D18" s="3" t="s">
        <v>66</v>
      </c>
      <c r="E18" s="4">
        <v>46136</v>
      </c>
      <c r="F18" s="4">
        <v>46165</v>
      </c>
      <c r="G18" s="9">
        <v>68.834183673469383</v>
      </c>
      <c r="H18" s="3">
        <v>47.224489795918366</v>
      </c>
      <c r="I18" s="3">
        <v>75.069515306122454</v>
      </c>
      <c r="J18" s="14">
        <v>85.208545918367349</v>
      </c>
      <c r="K18" s="3">
        <v>2.2662053571428569</v>
      </c>
      <c r="L18" s="3">
        <v>6272</v>
      </c>
      <c r="M18" s="17">
        <v>23.027742346938776</v>
      </c>
      <c r="N18" s="3">
        <v>99</v>
      </c>
      <c r="O18" s="3">
        <v>1.594050925925923</v>
      </c>
      <c r="P18" s="14">
        <v>43</v>
      </c>
      <c r="Q18" s="21">
        <v>0.39304846938775517</v>
      </c>
      <c r="R18" s="17">
        <v>2.6</v>
      </c>
      <c r="S18" s="3">
        <v>93.55</v>
      </c>
      <c r="T18" s="14">
        <v>3.85</v>
      </c>
      <c r="U18" s="3">
        <v>84.417091836734699</v>
      </c>
      <c r="V18" s="3">
        <v>0</v>
      </c>
    </row>
    <row r="19" spans="1:22" x14ac:dyDescent="0.3">
      <c r="A19" t="s">
        <v>35</v>
      </c>
      <c r="B19">
        <v>2026</v>
      </c>
      <c r="C19" t="s">
        <v>67</v>
      </c>
      <c r="D19" t="s">
        <v>68</v>
      </c>
      <c r="E19" s="5">
        <v>46136</v>
      </c>
      <c r="F19" s="5">
        <v>46153</v>
      </c>
      <c r="P19" s="15">
        <v>27</v>
      </c>
      <c r="Q19" s="20"/>
      <c r="U19">
        <v>50</v>
      </c>
      <c r="V19">
        <v>0</v>
      </c>
    </row>
    <row r="20" spans="1:22" x14ac:dyDescent="0.3">
      <c r="A20" s="3" t="s">
        <v>35</v>
      </c>
      <c r="B20" s="3">
        <v>2026</v>
      </c>
      <c r="C20" s="3" t="s">
        <v>69</v>
      </c>
      <c r="D20" s="3" t="s">
        <v>68</v>
      </c>
      <c r="E20" s="4">
        <v>46154</v>
      </c>
      <c r="F20" s="4">
        <v>46165</v>
      </c>
      <c r="G20" s="9">
        <v>57.98196517412935</v>
      </c>
      <c r="H20" s="3">
        <v>43.986318407960198</v>
      </c>
      <c r="I20" s="3">
        <v>71.977611940298502</v>
      </c>
      <c r="J20" s="14">
        <v>57.98196517412935</v>
      </c>
      <c r="K20" s="3">
        <v>2.3094434079601993</v>
      </c>
      <c r="L20" s="3">
        <v>3216</v>
      </c>
      <c r="M20" s="17">
        <v>21.919371890547264</v>
      </c>
      <c r="N20" s="3">
        <v>42</v>
      </c>
      <c r="O20" s="3">
        <v>0.72924768518518557</v>
      </c>
      <c r="P20" s="14">
        <v>11</v>
      </c>
      <c r="Q20" s="21">
        <v>0.29990671641791045</v>
      </c>
      <c r="R20" s="17">
        <v>0</v>
      </c>
      <c r="S20" s="3">
        <v>100</v>
      </c>
      <c r="T20" s="14">
        <v>0</v>
      </c>
      <c r="U20" s="3">
        <v>63.990982587064678</v>
      </c>
      <c r="V20" s="3">
        <v>1</v>
      </c>
    </row>
    <row r="21" spans="1:22" x14ac:dyDescent="0.3">
      <c r="A21" t="s">
        <v>35</v>
      </c>
      <c r="B21">
        <v>2026</v>
      </c>
      <c r="C21" t="s">
        <v>70</v>
      </c>
      <c r="D21" t="s">
        <v>71</v>
      </c>
      <c r="E21" s="5">
        <v>46136</v>
      </c>
      <c r="F21" s="5">
        <v>46165</v>
      </c>
      <c r="G21" s="10">
        <v>76</v>
      </c>
      <c r="H21">
        <v>49</v>
      </c>
      <c r="I21">
        <v>93</v>
      </c>
      <c r="J21" s="15">
        <v>85</v>
      </c>
      <c r="K21">
        <v>2.17</v>
      </c>
      <c r="L21">
        <v>6081</v>
      </c>
      <c r="M21" s="18">
        <v>24.6</v>
      </c>
      <c r="N21">
        <v>93</v>
      </c>
      <c r="O21">
        <v>1.5806365740740784</v>
      </c>
      <c r="P21" s="15">
        <v>43</v>
      </c>
      <c r="Q21" s="20">
        <v>1</v>
      </c>
      <c r="R21" s="18">
        <v>0.06</v>
      </c>
      <c r="S21">
        <v>94.59</v>
      </c>
      <c r="T21" s="15">
        <v>5.34</v>
      </c>
      <c r="U21">
        <v>73</v>
      </c>
      <c r="V21">
        <v>1</v>
      </c>
    </row>
    <row r="22" spans="1:22" x14ac:dyDescent="0.3">
      <c r="A22" s="3" t="s">
        <v>35</v>
      </c>
      <c r="B22" s="3">
        <v>2026</v>
      </c>
      <c r="C22" s="3" t="s">
        <v>72</v>
      </c>
      <c r="D22" s="3" t="s">
        <v>73</v>
      </c>
      <c r="E22" s="4">
        <v>46136</v>
      </c>
      <c r="F22" s="4">
        <v>46165</v>
      </c>
      <c r="G22" s="9">
        <v>74</v>
      </c>
      <c r="H22" s="3">
        <v>58</v>
      </c>
      <c r="I22" s="3">
        <v>83</v>
      </c>
      <c r="J22" s="14">
        <v>82</v>
      </c>
      <c r="K22" s="3">
        <v>2.21</v>
      </c>
      <c r="L22" s="3">
        <v>7617</v>
      </c>
      <c r="M22" s="17">
        <v>25.3</v>
      </c>
      <c r="N22" s="3">
        <v>135</v>
      </c>
      <c r="O22" s="3">
        <v>2.1798495370370401</v>
      </c>
      <c r="P22" s="14">
        <v>52</v>
      </c>
      <c r="Q22" s="21">
        <v>0.6</v>
      </c>
      <c r="R22" s="17">
        <v>0</v>
      </c>
      <c r="S22" s="3">
        <v>95.54</v>
      </c>
      <c r="T22" s="14">
        <v>4.46</v>
      </c>
      <c r="U22" s="3">
        <v>72</v>
      </c>
      <c r="V22" s="3">
        <v>1</v>
      </c>
    </row>
    <row r="23" spans="1:22" x14ac:dyDescent="0.3">
      <c r="A23" t="s">
        <v>35</v>
      </c>
      <c r="B23">
        <v>2026</v>
      </c>
      <c r="C23" t="s">
        <v>74</v>
      </c>
      <c r="D23" t="s">
        <v>75</v>
      </c>
      <c r="E23" s="5">
        <v>46154</v>
      </c>
      <c r="F23" s="5">
        <v>46165</v>
      </c>
      <c r="G23" s="10">
        <v>77.670779220779224</v>
      </c>
      <c r="H23">
        <v>61.73831168831169</v>
      </c>
      <c r="I23">
        <v>80.65811688311689</v>
      </c>
      <c r="J23" s="15">
        <v>91.611688311688312</v>
      </c>
      <c r="K23">
        <v>2.4244707792207794</v>
      </c>
      <c r="L23">
        <v>3080</v>
      </c>
      <c r="M23" s="18">
        <v>22.692045454545454</v>
      </c>
      <c r="N23">
        <v>41</v>
      </c>
      <c r="O23">
        <v>0.71805555555555545</v>
      </c>
      <c r="P23" s="15">
        <v>14</v>
      </c>
      <c r="Q23" s="20">
        <v>0</v>
      </c>
      <c r="R23" s="18">
        <v>98.74</v>
      </c>
      <c r="S23">
        <v>1.26</v>
      </c>
      <c r="T23" s="15">
        <v>0</v>
      </c>
      <c r="U23">
        <v>88.835389610389612</v>
      </c>
      <c r="V23">
        <v>0</v>
      </c>
    </row>
    <row r="24" spans="1:22" x14ac:dyDescent="0.3">
      <c r="A24" s="3" t="s">
        <v>35</v>
      </c>
      <c r="B24" s="3">
        <v>2026</v>
      </c>
      <c r="C24" s="3" t="s">
        <v>76</v>
      </c>
      <c r="D24" s="3" t="s">
        <v>77</v>
      </c>
      <c r="E24" s="4">
        <v>46136</v>
      </c>
      <c r="F24" s="4">
        <v>46145</v>
      </c>
      <c r="G24" s="9">
        <v>61</v>
      </c>
      <c r="H24" s="3">
        <v>41</v>
      </c>
      <c r="I24" s="3">
        <v>82</v>
      </c>
      <c r="J24" s="14">
        <v>61</v>
      </c>
      <c r="K24" s="3">
        <v>2.85</v>
      </c>
      <c r="L24" s="3">
        <v>766</v>
      </c>
      <c r="M24" s="17">
        <v>27.2</v>
      </c>
      <c r="N24" s="3">
        <v>15</v>
      </c>
      <c r="O24" s="3">
        <v>0.23381944444444414</v>
      </c>
      <c r="P24" s="14">
        <v>9</v>
      </c>
      <c r="Q24" s="21">
        <v>0.2</v>
      </c>
      <c r="R24" s="17">
        <v>0</v>
      </c>
      <c r="S24" s="3">
        <v>99.92</v>
      </c>
      <c r="T24" s="14">
        <v>0.08</v>
      </c>
      <c r="U24" s="3">
        <v>80.5</v>
      </c>
      <c r="V24" s="3">
        <v>0</v>
      </c>
    </row>
    <row r="25" spans="1:22" x14ac:dyDescent="0.3">
      <c r="A25" t="s">
        <v>35</v>
      </c>
      <c r="B25">
        <v>2026</v>
      </c>
      <c r="C25" t="s">
        <v>76</v>
      </c>
      <c r="D25" t="s">
        <v>77</v>
      </c>
      <c r="E25" s="5">
        <v>46161</v>
      </c>
      <c r="F25" s="5">
        <v>46165</v>
      </c>
      <c r="G25" s="10">
        <v>59</v>
      </c>
      <c r="H25">
        <v>38</v>
      </c>
      <c r="I25">
        <v>82</v>
      </c>
      <c r="J25" s="15">
        <v>57</v>
      </c>
      <c r="K25">
        <v>1.76</v>
      </c>
      <c r="L25">
        <v>669</v>
      </c>
      <c r="M25" s="18">
        <v>29.5</v>
      </c>
      <c r="N25">
        <v>13</v>
      </c>
      <c r="O25">
        <v>0.21812499999999979</v>
      </c>
      <c r="P25" s="15">
        <v>5</v>
      </c>
      <c r="Q25" s="20">
        <v>2.2000000000000002</v>
      </c>
      <c r="R25" s="18">
        <v>0</v>
      </c>
      <c r="S25">
        <v>96.5</v>
      </c>
      <c r="T25" s="15">
        <v>3.5</v>
      </c>
      <c r="U25">
        <v>34.5</v>
      </c>
      <c r="V25">
        <v>3</v>
      </c>
    </row>
    <row r="26" spans="1:22" x14ac:dyDescent="0.3">
      <c r="A26" s="3" t="s">
        <v>35</v>
      </c>
      <c r="B26" s="3">
        <v>2026</v>
      </c>
      <c r="C26" s="3" t="s">
        <v>78</v>
      </c>
      <c r="D26" s="3" t="s">
        <v>77</v>
      </c>
      <c r="E26" s="4">
        <v>46146</v>
      </c>
      <c r="F26" s="4">
        <v>46160</v>
      </c>
      <c r="G26" s="9">
        <v>80</v>
      </c>
      <c r="H26" s="3">
        <v>65</v>
      </c>
      <c r="I26" s="3">
        <v>89</v>
      </c>
      <c r="J26" s="14">
        <v>86</v>
      </c>
      <c r="K26" s="3">
        <v>2.4</v>
      </c>
      <c r="L26" s="3">
        <v>2458</v>
      </c>
      <c r="M26" s="17">
        <v>18.3</v>
      </c>
      <c r="N26" s="3">
        <v>32</v>
      </c>
      <c r="O26" s="3">
        <v>0.47480324074074098</v>
      </c>
      <c r="P26" s="14">
        <v>14</v>
      </c>
      <c r="Q26" s="21">
        <v>0.5</v>
      </c>
      <c r="R26" s="17">
        <v>34.020000000000003</v>
      </c>
      <c r="S26" s="3">
        <v>65.98</v>
      </c>
      <c r="T26" s="14">
        <v>0</v>
      </c>
      <c r="U26" s="3">
        <v>90</v>
      </c>
      <c r="V26" s="3">
        <v>0</v>
      </c>
    </row>
    <row r="27" spans="1:22" x14ac:dyDescent="0.3">
      <c r="A27" t="s">
        <v>35</v>
      </c>
      <c r="B27">
        <v>2026</v>
      </c>
      <c r="C27" t="s">
        <v>78</v>
      </c>
      <c r="D27" t="s">
        <v>79</v>
      </c>
      <c r="E27" s="5">
        <v>46136</v>
      </c>
      <c r="F27" s="5">
        <v>46165</v>
      </c>
      <c r="G27" s="10">
        <v>74</v>
      </c>
      <c r="H27">
        <v>69</v>
      </c>
      <c r="I27">
        <v>84</v>
      </c>
      <c r="J27" s="15">
        <v>69</v>
      </c>
      <c r="K27">
        <v>2.78</v>
      </c>
      <c r="L27">
        <v>4034</v>
      </c>
      <c r="M27" s="18">
        <v>14.8</v>
      </c>
      <c r="N27">
        <v>35</v>
      </c>
      <c r="O27">
        <v>0.53334490740740703</v>
      </c>
      <c r="P27" s="15">
        <v>33</v>
      </c>
      <c r="Q27" s="20">
        <v>0</v>
      </c>
      <c r="R27" s="18">
        <v>86.07</v>
      </c>
      <c r="S27">
        <v>13.93</v>
      </c>
      <c r="T27" s="15">
        <v>0</v>
      </c>
      <c r="U27">
        <v>87</v>
      </c>
      <c r="V27">
        <v>0</v>
      </c>
    </row>
    <row r="28" spans="1:22" x14ac:dyDescent="0.3">
      <c r="A28" s="3" t="s">
        <v>35</v>
      </c>
      <c r="B28" s="3">
        <v>2026</v>
      </c>
      <c r="C28" s="3" t="s">
        <v>80</v>
      </c>
      <c r="D28" s="3" t="s">
        <v>81</v>
      </c>
      <c r="E28" s="4">
        <v>46136</v>
      </c>
      <c r="F28" s="4">
        <v>46165</v>
      </c>
      <c r="G28" s="9">
        <v>69</v>
      </c>
      <c r="H28" s="3">
        <v>52</v>
      </c>
      <c r="I28" s="3">
        <v>69</v>
      </c>
      <c r="J28" s="14">
        <v>86</v>
      </c>
      <c r="K28" s="3">
        <v>2.54</v>
      </c>
      <c r="L28" s="3">
        <v>7455</v>
      </c>
      <c r="M28" s="17">
        <v>20.5</v>
      </c>
      <c r="N28" s="3">
        <v>79</v>
      </c>
      <c r="O28" s="3">
        <v>1.4804629629629671</v>
      </c>
      <c r="P28" s="14">
        <v>47</v>
      </c>
      <c r="Q28" s="21">
        <v>0.3</v>
      </c>
      <c r="R28" s="17">
        <v>3.06</v>
      </c>
      <c r="S28" s="3">
        <v>96.93</v>
      </c>
      <c r="T28" s="14">
        <v>0</v>
      </c>
      <c r="U28" s="3">
        <v>84.5</v>
      </c>
      <c r="V28" s="3">
        <v>0</v>
      </c>
    </row>
    <row r="29" spans="1:22" x14ac:dyDescent="0.3">
      <c r="A29" t="s">
        <v>35</v>
      </c>
      <c r="B29">
        <v>2026</v>
      </c>
      <c r="C29" t="s">
        <v>82</v>
      </c>
      <c r="D29" t="s">
        <v>83</v>
      </c>
      <c r="E29" s="5">
        <v>46150</v>
      </c>
      <c r="F29" s="5">
        <v>46165</v>
      </c>
      <c r="G29" s="10">
        <v>86</v>
      </c>
      <c r="H29">
        <v>75.931685223627099</v>
      </c>
      <c r="I29">
        <v>87.517078694093229</v>
      </c>
      <c r="J29" s="15">
        <v>95.102472164559344</v>
      </c>
      <c r="K29">
        <v>2.7314606529533876</v>
      </c>
      <c r="L29">
        <v>5299</v>
      </c>
      <c r="M29" s="18">
        <v>16.35901113417626</v>
      </c>
      <c r="N29">
        <v>45</v>
      </c>
      <c r="O29">
        <v>0.75784722222222201</v>
      </c>
      <c r="P29" s="15">
        <v>24</v>
      </c>
      <c r="Q29" s="20">
        <v>0.19999999999999998</v>
      </c>
      <c r="R29" s="18">
        <v>94.99</v>
      </c>
      <c r="S29">
        <v>4.96</v>
      </c>
      <c r="T29" s="15">
        <v>0</v>
      </c>
      <c r="U29">
        <v>93</v>
      </c>
      <c r="V29">
        <v>0</v>
      </c>
    </row>
    <row r="30" spans="1:22" x14ac:dyDescent="0.3">
      <c r="A30" s="3" t="s">
        <v>35</v>
      </c>
      <c r="B30" s="3">
        <v>2026</v>
      </c>
      <c r="C30" s="3" t="s">
        <v>84</v>
      </c>
      <c r="D30" s="3" t="s">
        <v>83</v>
      </c>
      <c r="E30" s="4">
        <v>46136</v>
      </c>
      <c r="F30" s="4">
        <v>46149</v>
      </c>
      <c r="G30" s="9">
        <v>83.965029142381354</v>
      </c>
      <c r="H30" s="3">
        <v>75.968359700249792</v>
      </c>
      <c r="I30" s="3">
        <v>79.966694421315566</v>
      </c>
      <c r="J30" s="14">
        <v>96.95961698584513</v>
      </c>
      <c r="K30" s="3">
        <v>2.6990924229808497</v>
      </c>
      <c r="L30" s="3">
        <v>2402</v>
      </c>
      <c r="M30" s="17">
        <v>13.730724396336385</v>
      </c>
      <c r="N30" s="3">
        <v>19</v>
      </c>
      <c r="O30" s="3">
        <v>0.33371527777777787</v>
      </c>
      <c r="P30" s="14">
        <v>13</v>
      </c>
      <c r="Q30" s="21">
        <v>0.49979184013322231</v>
      </c>
      <c r="R30" s="17">
        <v>0.62</v>
      </c>
      <c r="S30" s="3">
        <v>99.38</v>
      </c>
      <c r="T30" s="14">
        <v>0</v>
      </c>
      <c r="U30" s="3">
        <v>91.982514571190677</v>
      </c>
      <c r="V30" s="3">
        <v>0</v>
      </c>
    </row>
    <row r="31" spans="1:22" x14ac:dyDescent="0.3">
      <c r="A31" t="s">
        <v>35</v>
      </c>
      <c r="B31">
        <v>2026</v>
      </c>
      <c r="C31" t="s">
        <v>85</v>
      </c>
      <c r="D31" t="s">
        <v>86</v>
      </c>
      <c r="E31" s="5">
        <v>46136</v>
      </c>
      <c r="F31" s="5">
        <v>46165</v>
      </c>
      <c r="G31" s="10">
        <v>82</v>
      </c>
      <c r="H31">
        <v>81</v>
      </c>
      <c r="I31">
        <v>87</v>
      </c>
      <c r="J31" s="15">
        <v>77</v>
      </c>
      <c r="K31">
        <v>2.33</v>
      </c>
      <c r="L31">
        <v>7126</v>
      </c>
      <c r="M31" s="18">
        <v>25.7</v>
      </c>
      <c r="N31">
        <v>99</v>
      </c>
      <c r="O31">
        <v>1.8960763888888863</v>
      </c>
      <c r="P31" s="15">
        <v>49</v>
      </c>
      <c r="Q31" s="20">
        <v>0.5</v>
      </c>
      <c r="R31" s="18">
        <v>34.96</v>
      </c>
      <c r="S31">
        <v>65.040000000000006</v>
      </c>
      <c r="T31" s="15">
        <v>0</v>
      </c>
      <c r="U31">
        <v>91</v>
      </c>
      <c r="V31">
        <v>0</v>
      </c>
    </row>
    <row r="32" spans="1:22" x14ac:dyDescent="0.3">
      <c r="A32" s="3" t="s">
        <v>35</v>
      </c>
      <c r="B32" s="3">
        <v>2026</v>
      </c>
      <c r="C32" s="3" t="s">
        <v>87</v>
      </c>
      <c r="D32" s="3" t="s">
        <v>88</v>
      </c>
      <c r="E32" s="4">
        <v>46136</v>
      </c>
      <c r="F32" s="4">
        <v>46165</v>
      </c>
      <c r="G32" s="9">
        <v>76</v>
      </c>
      <c r="H32" s="3">
        <v>50</v>
      </c>
      <c r="I32" s="3">
        <v>80</v>
      </c>
      <c r="J32" s="14">
        <v>98</v>
      </c>
      <c r="K32" s="3">
        <v>2.97</v>
      </c>
      <c r="L32" s="3">
        <v>8012</v>
      </c>
      <c r="M32" s="17">
        <v>16.8</v>
      </c>
      <c r="N32" s="3">
        <v>57</v>
      </c>
      <c r="O32" s="3">
        <v>1.0626504629629629</v>
      </c>
      <c r="P32" s="14">
        <v>43</v>
      </c>
      <c r="Q32" s="21">
        <v>0.5</v>
      </c>
      <c r="R32" s="17">
        <v>100</v>
      </c>
      <c r="S32" s="3">
        <v>0</v>
      </c>
      <c r="T32" s="14">
        <v>0</v>
      </c>
      <c r="U32" s="3">
        <v>88</v>
      </c>
      <c r="V32" s="3">
        <v>0</v>
      </c>
    </row>
    <row r="33" spans="1:22" x14ac:dyDescent="0.3">
      <c r="A33" t="s">
        <v>35</v>
      </c>
      <c r="B33">
        <v>2026</v>
      </c>
      <c r="C33" t="s">
        <v>67</v>
      </c>
      <c r="D33" t="s">
        <v>89</v>
      </c>
      <c r="E33" s="5">
        <v>46154</v>
      </c>
      <c r="F33" s="5">
        <v>46165</v>
      </c>
      <c r="G33" s="10">
        <v>56.008525576730193</v>
      </c>
      <c r="H33">
        <v>18.961885656970914</v>
      </c>
      <c r="I33">
        <v>78.912738214643937</v>
      </c>
      <c r="J33" s="15">
        <v>69.97993981945838</v>
      </c>
      <c r="K33">
        <v>3.5961584754262788</v>
      </c>
      <c r="L33">
        <v>3988</v>
      </c>
      <c r="M33" s="18">
        <v>15.63370110330993</v>
      </c>
      <c r="N33">
        <v>24</v>
      </c>
      <c r="O33">
        <v>0.44674768518518526</v>
      </c>
      <c r="P33" s="15">
        <v>13</v>
      </c>
      <c r="Q33" s="20">
        <v>0</v>
      </c>
      <c r="R33" s="18">
        <v>17.170000000000002</v>
      </c>
      <c r="S33">
        <v>82.83</v>
      </c>
      <c r="T33" s="15">
        <v>0</v>
      </c>
      <c r="U33">
        <v>78.004262788365097</v>
      </c>
      <c r="V33">
        <v>0</v>
      </c>
    </row>
    <row r="34" spans="1:22" x14ac:dyDescent="0.3">
      <c r="A34" s="3" t="s">
        <v>35</v>
      </c>
      <c r="B34" s="3">
        <v>2026</v>
      </c>
      <c r="C34" s="3" t="s">
        <v>69</v>
      </c>
      <c r="D34" s="3" t="s">
        <v>89</v>
      </c>
      <c r="E34" s="4">
        <v>46136</v>
      </c>
      <c r="F34" s="4">
        <v>46153</v>
      </c>
      <c r="G34" s="9"/>
      <c r="H34" s="3"/>
      <c r="I34" s="3"/>
      <c r="J34" s="14"/>
      <c r="K34" s="3"/>
      <c r="L34" s="3"/>
      <c r="M34" s="17"/>
      <c r="N34" s="3"/>
      <c r="O34" s="3"/>
      <c r="P34" s="14">
        <v>25</v>
      </c>
      <c r="Q34" s="21"/>
      <c r="R34" s="17"/>
      <c r="S34" s="3"/>
      <c r="T34" s="14"/>
      <c r="U34" s="3">
        <v>35</v>
      </c>
      <c r="V34" s="3">
        <v>1</v>
      </c>
    </row>
    <row r="35" spans="1:22" x14ac:dyDescent="0.3">
      <c r="A35" t="s">
        <v>35</v>
      </c>
      <c r="B35">
        <v>2026</v>
      </c>
      <c r="C35" t="s">
        <v>90</v>
      </c>
      <c r="D35" t="s">
        <v>91</v>
      </c>
      <c r="E35" s="5">
        <v>46136</v>
      </c>
      <c r="F35" s="5">
        <v>46165</v>
      </c>
      <c r="G35" s="10">
        <v>79</v>
      </c>
      <c r="H35">
        <v>46</v>
      </c>
      <c r="I35">
        <v>97</v>
      </c>
      <c r="J35" s="15">
        <v>93</v>
      </c>
      <c r="K35">
        <v>2.35</v>
      </c>
      <c r="L35">
        <v>6953</v>
      </c>
      <c r="M35" s="18">
        <v>23.7</v>
      </c>
      <c r="N35">
        <v>104</v>
      </c>
      <c r="O35">
        <v>1.8198379629629649</v>
      </c>
      <c r="P35" s="15">
        <v>49</v>
      </c>
      <c r="Q35" s="20">
        <v>0.8</v>
      </c>
      <c r="R35" s="18">
        <v>31.41</v>
      </c>
      <c r="S35">
        <v>68.59</v>
      </c>
      <c r="T35" s="15">
        <v>0</v>
      </c>
      <c r="U35">
        <v>74.5</v>
      </c>
      <c r="V35">
        <v>1</v>
      </c>
    </row>
    <row r="36" spans="1:22" x14ac:dyDescent="0.3">
      <c r="A36" s="3" t="s">
        <v>35</v>
      </c>
      <c r="B36" s="3">
        <v>2026</v>
      </c>
      <c r="C36" s="3" t="s">
        <v>92</v>
      </c>
      <c r="D36" s="3" t="s">
        <v>93</v>
      </c>
      <c r="E36" s="4">
        <v>46137</v>
      </c>
      <c r="F36" s="4">
        <v>46165</v>
      </c>
      <c r="G36" s="9"/>
      <c r="H36" s="3"/>
      <c r="I36" s="3"/>
      <c r="J36" s="14"/>
      <c r="K36" s="3"/>
      <c r="L36" s="3"/>
      <c r="M36" s="17"/>
      <c r="N36" s="3"/>
      <c r="O36" s="3"/>
      <c r="P36" s="14">
        <v>30</v>
      </c>
      <c r="Q36" s="21"/>
      <c r="R36" s="17"/>
      <c r="S36" s="3"/>
      <c r="T36" s="14"/>
      <c r="U36" s="3">
        <v>50</v>
      </c>
      <c r="V36" s="3">
        <v>0</v>
      </c>
    </row>
    <row r="37" spans="1:22" x14ac:dyDescent="0.3">
      <c r="A37" t="s">
        <v>35</v>
      </c>
      <c r="B37">
        <v>2026</v>
      </c>
      <c r="C37" t="s">
        <v>43</v>
      </c>
      <c r="D37" t="s">
        <v>94</v>
      </c>
      <c r="E37" s="5">
        <v>46157</v>
      </c>
      <c r="F37" s="5">
        <v>46165</v>
      </c>
      <c r="G37" s="10">
        <v>78</v>
      </c>
      <c r="H37">
        <v>70</v>
      </c>
      <c r="I37">
        <v>82</v>
      </c>
      <c r="J37" s="15">
        <v>83</v>
      </c>
      <c r="K37">
        <v>2.17</v>
      </c>
      <c r="L37">
        <v>2425</v>
      </c>
      <c r="M37" s="18">
        <v>23.7</v>
      </c>
      <c r="N37">
        <v>27</v>
      </c>
      <c r="O37">
        <v>0.58560185185185198</v>
      </c>
      <c r="P37" s="15">
        <v>14</v>
      </c>
      <c r="Q37" s="20">
        <v>0.1</v>
      </c>
      <c r="R37" s="18">
        <v>85.05</v>
      </c>
      <c r="S37">
        <v>14.54</v>
      </c>
      <c r="T37" s="15">
        <v>0.05</v>
      </c>
      <c r="U37">
        <v>89</v>
      </c>
      <c r="V37">
        <v>0</v>
      </c>
    </row>
    <row r="38" spans="1:22" x14ac:dyDescent="0.3">
      <c r="A38" s="3" t="s">
        <v>35</v>
      </c>
      <c r="B38" s="3">
        <v>2026</v>
      </c>
      <c r="C38" s="3" t="s">
        <v>64</v>
      </c>
      <c r="D38" s="3" t="s">
        <v>94</v>
      </c>
      <c r="E38" s="4">
        <v>46136</v>
      </c>
      <c r="F38" s="4">
        <v>46146</v>
      </c>
      <c r="G38" s="9">
        <v>80</v>
      </c>
      <c r="H38" s="3">
        <v>75</v>
      </c>
      <c r="I38" s="3">
        <v>92</v>
      </c>
      <c r="J38" s="14">
        <v>72</v>
      </c>
      <c r="K38" s="3">
        <v>2.34</v>
      </c>
      <c r="L38" s="3">
        <v>2557</v>
      </c>
      <c r="M38" s="17">
        <v>18.7</v>
      </c>
      <c r="N38" s="3">
        <v>21</v>
      </c>
      <c r="O38" s="3">
        <v>0.56490740740740719</v>
      </c>
      <c r="P38" s="14">
        <v>19</v>
      </c>
      <c r="Q38" s="21">
        <v>0.2</v>
      </c>
      <c r="R38" s="17">
        <v>10.99</v>
      </c>
      <c r="S38" s="3">
        <v>88.17</v>
      </c>
      <c r="T38" s="14">
        <v>0.83</v>
      </c>
      <c r="U38" s="3">
        <v>90</v>
      </c>
      <c r="V38" s="3">
        <v>0</v>
      </c>
    </row>
    <row r="39" spans="1:22" x14ac:dyDescent="0.3">
      <c r="A39" t="s">
        <v>35</v>
      </c>
      <c r="B39">
        <v>2026</v>
      </c>
      <c r="C39" t="s">
        <v>82</v>
      </c>
      <c r="D39" t="s">
        <v>95</v>
      </c>
      <c r="E39" s="5">
        <v>46136</v>
      </c>
      <c r="F39" s="5">
        <v>46149</v>
      </c>
      <c r="G39" s="10">
        <v>86</v>
      </c>
      <c r="H39">
        <v>78</v>
      </c>
      <c r="I39">
        <v>88</v>
      </c>
      <c r="J39" s="15">
        <v>91</v>
      </c>
      <c r="K39">
        <v>3.0099999999999993</v>
      </c>
      <c r="L39">
        <v>2785</v>
      </c>
      <c r="M39" s="18">
        <v>15.1</v>
      </c>
      <c r="N39">
        <v>22</v>
      </c>
      <c r="O39">
        <v>0.31728009259259277</v>
      </c>
      <c r="P39" s="15">
        <v>20</v>
      </c>
      <c r="Q39" s="20">
        <v>0.3</v>
      </c>
      <c r="R39" s="18">
        <v>95</v>
      </c>
      <c r="S39">
        <v>5</v>
      </c>
      <c r="T39" s="15">
        <v>0</v>
      </c>
      <c r="U39">
        <v>93</v>
      </c>
      <c r="V39">
        <v>0</v>
      </c>
    </row>
    <row r="40" spans="1:22" x14ac:dyDescent="0.3">
      <c r="A40" s="3" t="s">
        <v>35</v>
      </c>
      <c r="B40" s="3">
        <v>2026</v>
      </c>
      <c r="C40" s="3" t="s">
        <v>96</v>
      </c>
      <c r="D40" s="3" t="s">
        <v>95</v>
      </c>
      <c r="E40" s="4">
        <v>46156</v>
      </c>
      <c r="F40" s="4">
        <v>46165</v>
      </c>
      <c r="G40" s="9"/>
      <c r="H40" s="3"/>
      <c r="I40" s="3"/>
      <c r="J40" s="14"/>
      <c r="K40" s="3"/>
      <c r="L40" s="3"/>
      <c r="M40" s="17"/>
      <c r="N40" s="3"/>
      <c r="O40" s="3"/>
      <c r="P40" s="14">
        <v>9</v>
      </c>
      <c r="Q40" s="21"/>
      <c r="R40" s="17"/>
      <c r="S40" s="3"/>
      <c r="T40" s="14"/>
      <c r="U40" s="3">
        <v>50</v>
      </c>
      <c r="V40" s="3">
        <v>0</v>
      </c>
    </row>
    <row r="41" spans="1:22" x14ac:dyDescent="0.3">
      <c r="A41" t="s">
        <v>35</v>
      </c>
      <c r="B41">
        <v>2026</v>
      </c>
      <c r="C41" t="s">
        <v>64</v>
      </c>
      <c r="D41" t="s">
        <v>97</v>
      </c>
      <c r="E41" s="5">
        <v>46147</v>
      </c>
      <c r="F41" s="5">
        <v>46156</v>
      </c>
      <c r="G41" s="10">
        <v>59.037825059101657</v>
      </c>
      <c r="H41">
        <v>21.747044917257682</v>
      </c>
      <c r="I41">
        <v>79.716312056737593</v>
      </c>
      <c r="J41" s="15">
        <v>74.659574468085111</v>
      </c>
      <c r="K41">
        <v>4.5291016548463352</v>
      </c>
      <c r="L41">
        <v>4230</v>
      </c>
      <c r="M41" s="18">
        <v>14.595271867612293</v>
      </c>
      <c r="N41">
        <v>24</v>
      </c>
      <c r="O41">
        <v>0.43810185185185169</v>
      </c>
      <c r="P41" s="15">
        <v>9</v>
      </c>
      <c r="Q41" s="20">
        <v>0</v>
      </c>
      <c r="R41" s="18">
        <v>4.88</v>
      </c>
      <c r="S41">
        <v>95.12</v>
      </c>
      <c r="T41" s="15">
        <v>0</v>
      </c>
      <c r="U41">
        <v>79.518912529550832</v>
      </c>
      <c r="V41">
        <v>0</v>
      </c>
    </row>
    <row r="42" spans="1:22" x14ac:dyDescent="0.3">
      <c r="A42" s="3" t="s">
        <v>35</v>
      </c>
      <c r="B42" s="3">
        <v>2026</v>
      </c>
      <c r="C42" s="3" t="s">
        <v>98</v>
      </c>
      <c r="D42" s="3" t="s">
        <v>97</v>
      </c>
      <c r="E42" s="4">
        <v>46136</v>
      </c>
      <c r="F42" s="4">
        <v>46146</v>
      </c>
      <c r="G42" s="9">
        <v>71</v>
      </c>
      <c r="H42" s="3">
        <v>56</v>
      </c>
      <c r="I42" s="3">
        <v>83</v>
      </c>
      <c r="J42" s="14">
        <v>75</v>
      </c>
      <c r="K42" s="3">
        <v>2.94</v>
      </c>
      <c r="L42" s="3">
        <v>2509</v>
      </c>
      <c r="M42" s="17">
        <v>25.4</v>
      </c>
      <c r="N42" s="3">
        <v>36</v>
      </c>
      <c r="O42" s="3">
        <v>0.65983796296296304</v>
      </c>
      <c r="P42" s="14">
        <v>13</v>
      </c>
      <c r="Q42" s="21">
        <v>0.2</v>
      </c>
      <c r="R42" s="17">
        <v>77.72</v>
      </c>
      <c r="S42" s="3">
        <v>22.28</v>
      </c>
      <c r="T42" s="14">
        <v>0</v>
      </c>
      <c r="U42" s="3">
        <v>85.5</v>
      </c>
      <c r="V42" s="3">
        <v>0</v>
      </c>
    </row>
    <row r="43" spans="1:22" x14ac:dyDescent="0.3">
      <c r="A43" t="s">
        <v>35</v>
      </c>
      <c r="B43">
        <v>2026</v>
      </c>
      <c r="C43" t="s">
        <v>98</v>
      </c>
      <c r="D43" t="s">
        <v>97</v>
      </c>
      <c r="E43" s="5">
        <v>46157</v>
      </c>
      <c r="F43" s="5">
        <v>46165</v>
      </c>
      <c r="G43" s="10">
        <v>71</v>
      </c>
      <c r="H43">
        <v>48</v>
      </c>
      <c r="I43">
        <v>82</v>
      </c>
      <c r="J43" s="15">
        <v>83</v>
      </c>
      <c r="K43">
        <v>2.7</v>
      </c>
      <c r="L43">
        <v>2604</v>
      </c>
      <c r="M43" s="18">
        <v>27.799999999999997</v>
      </c>
      <c r="N43">
        <v>35</v>
      </c>
      <c r="O43">
        <v>0.61431712962963003</v>
      </c>
      <c r="P43" s="15">
        <v>9</v>
      </c>
      <c r="Q43" s="20">
        <v>0.10000000000000002</v>
      </c>
      <c r="R43" s="18">
        <v>100</v>
      </c>
      <c r="S43">
        <v>0</v>
      </c>
      <c r="T43" s="15">
        <v>0</v>
      </c>
      <c r="U43">
        <v>70.5</v>
      </c>
      <c r="V43">
        <v>1</v>
      </c>
    </row>
    <row r="44" spans="1:22" x14ac:dyDescent="0.3">
      <c r="A44" s="3" t="s">
        <v>35</v>
      </c>
      <c r="B44" s="3">
        <v>2026</v>
      </c>
      <c r="C44" s="3" t="s">
        <v>99</v>
      </c>
      <c r="D44" s="3" t="s">
        <v>100</v>
      </c>
      <c r="E44" s="4">
        <v>46136</v>
      </c>
      <c r="F44" s="4">
        <v>46165</v>
      </c>
      <c r="G44" s="9">
        <v>71.72828966735355</v>
      </c>
      <c r="H44" s="3">
        <v>67.557845157491911</v>
      </c>
      <c r="I44" s="3">
        <v>79.832793641448333</v>
      </c>
      <c r="J44" s="14">
        <v>65.58198410362084</v>
      </c>
      <c r="K44" s="3">
        <v>2.3610450397409477</v>
      </c>
      <c r="L44" s="3">
        <v>6794</v>
      </c>
      <c r="M44" s="17">
        <v>17.818810715337062</v>
      </c>
      <c r="N44" s="3">
        <v>82</v>
      </c>
      <c r="O44" s="3">
        <v>1.3477430555555534</v>
      </c>
      <c r="P44" s="14">
        <v>50</v>
      </c>
      <c r="Q44" s="21">
        <v>9.790992051810421E-2</v>
      </c>
      <c r="R44" s="17">
        <v>19.07</v>
      </c>
      <c r="S44" s="3">
        <v>76.400000000000006</v>
      </c>
      <c r="T44" s="14">
        <v>0.36</v>
      </c>
      <c r="U44" s="3">
        <v>85.864144833676775</v>
      </c>
      <c r="V44" s="3">
        <v>0</v>
      </c>
    </row>
    <row r="45" spans="1:22" x14ac:dyDescent="0.3">
      <c r="A45" t="s">
        <v>35</v>
      </c>
      <c r="B45">
        <v>2026</v>
      </c>
      <c r="C45" t="s">
        <v>101</v>
      </c>
      <c r="D45" t="s">
        <v>102</v>
      </c>
      <c r="E45" s="5">
        <v>46136</v>
      </c>
      <c r="F45" s="5">
        <v>46165</v>
      </c>
      <c r="G45" s="10">
        <v>84</v>
      </c>
      <c r="H45">
        <v>59</v>
      </c>
      <c r="I45">
        <v>96</v>
      </c>
      <c r="J45" s="15">
        <v>96</v>
      </c>
      <c r="K45">
        <v>2.71</v>
      </c>
      <c r="L45">
        <v>7947</v>
      </c>
      <c r="M45" s="18">
        <v>18.399999999999999</v>
      </c>
      <c r="N45">
        <v>89</v>
      </c>
      <c r="O45">
        <v>1.3682754629629654</v>
      </c>
      <c r="P45" s="15">
        <v>38</v>
      </c>
      <c r="Q45" s="20">
        <v>0</v>
      </c>
      <c r="R45" s="18">
        <v>100</v>
      </c>
      <c r="S45">
        <v>0</v>
      </c>
      <c r="T45" s="15">
        <v>0</v>
      </c>
      <c r="U45">
        <v>92</v>
      </c>
      <c r="V45">
        <v>0</v>
      </c>
    </row>
    <row r="46" spans="1:22" x14ac:dyDescent="0.3">
      <c r="A46" s="3" t="s">
        <v>35</v>
      </c>
      <c r="B46" s="3">
        <v>2026</v>
      </c>
      <c r="C46" s="3" t="s">
        <v>103</v>
      </c>
      <c r="D46" s="3" t="s">
        <v>104</v>
      </c>
      <c r="E46" s="4">
        <v>46136</v>
      </c>
      <c r="F46" s="4">
        <v>46165</v>
      </c>
      <c r="G46" s="9"/>
      <c r="H46" s="3"/>
      <c r="I46" s="3"/>
      <c r="J46" s="14"/>
      <c r="K46" s="3"/>
      <c r="L46" s="3"/>
      <c r="M46" s="17"/>
      <c r="N46" s="3"/>
      <c r="O46" s="3"/>
      <c r="P46" s="14">
        <v>38</v>
      </c>
      <c r="Q46" s="21"/>
      <c r="R46" s="17" t="s">
        <v>47</v>
      </c>
      <c r="S46" s="3" t="s">
        <v>47</v>
      </c>
      <c r="T46" s="14" t="s">
        <v>47</v>
      </c>
      <c r="U46" s="3">
        <v>50</v>
      </c>
      <c r="V46" s="3"/>
    </row>
    <row r="47" spans="1:22" x14ac:dyDescent="0.3">
      <c r="A47" t="s">
        <v>35</v>
      </c>
      <c r="B47">
        <v>2026</v>
      </c>
      <c r="C47" t="s">
        <v>96</v>
      </c>
      <c r="D47" t="s">
        <v>105</v>
      </c>
      <c r="E47" s="5">
        <v>46136</v>
      </c>
      <c r="F47" s="5">
        <v>46155</v>
      </c>
      <c r="G47" s="10">
        <v>72.417134115247322</v>
      </c>
      <c r="H47">
        <v>55.499235084140743</v>
      </c>
      <c r="I47">
        <v>77.092809790922999</v>
      </c>
      <c r="J47" s="15">
        <v>82.190719020907707</v>
      </c>
      <c r="K47">
        <v>2.6121876593574709</v>
      </c>
      <c r="L47">
        <v>5883</v>
      </c>
      <c r="M47" s="18">
        <v>20.025956144824068</v>
      </c>
      <c r="N47">
        <v>61</v>
      </c>
      <c r="O47">
        <v>1.121180555555555</v>
      </c>
      <c r="P47" s="15">
        <v>26</v>
      </c>
      <c r="Q47" s="20">
        <v>6.5221825599184102E-2</v>
      </c>
      <c r="R47" s="18">
        <v>99.19</v>
      </c>
      <c r="S47">
        <v>0.81</v>
      </c>
      <c r="T47" s="15">
        <v>0</v>
      </c>
      <c r="U47">
        <v>86.208567057623668</v>
      </c>
      <c r="V47">
        <v>0</v>
      </c>
    </row>
    <row r="48" spans="1:22" x14ac:dyDescent="0.3">
      <c r="A48" s="3" t="s">
        <v>35</v>
      </c>
      <c r="B48" s="3">
        <v>2026</v>
      </c>
      <c r="C48" s="3" t="s">
        <v>84</v>
      </c>
      <c r="D48" s="3" t="s">
        <v>105</v>
      </c>
      <c r="E48" s="4">
        <v>46156</v>
      </c>
      <c r="F48" s="4">
        <v>46165</v>
      </c>
      <c r="G48" s="9"/>
      <c r="H48" s="3"/>
      <c r="I48" s="3"/>
      <c r="J48" s="14"/>
      <c r="K48" s="3"/>
      <c r="L48" s="3"/>
      <c r="M48" s="17"/>
      <c r="N48" s="3"/>
      <c r="O48" s="3"/>
      <c r="P48" s="14">
        <v>6</v>
      </c>
      <c r="Q48" s="21"/>
      <c r="R48" s="17"/>
      <c r="S48" s="3"/>
      <c r="T48" s="14"/>
      <c r="U48" s="3">
        <v>35</v>
      </c>
      <c r="V48" s="3">
        <v>1</v>
      </c>
    </row>
    <row r="49" spans="1:22" x14ac:dyDescent="0.3">
      <c r="A49" t="s">
        <v>35</v>
      </c>
      <c r="B49">
        <v>2026</v>
      </c>
      <c r="C49" t="s">
        <v>106</v>
      </c>
      <c r="D49" t="s">
        <v>107</v>
      </c>
      <c r="E49" s="5">
        <v>46136</v>
      </c>
      <c r="F49" s="5">
        <v>46165</v>
      </c>
      <c r="G49" s="10">
        <v>73.718865415866446</v>
      </c>
      <c r="H49">
        <v>55.207711626532721</v>
      </c>
      <c r="I49">
        <v>92.076673068400055</v>
      </c>
      <c r="J49" s="15">
        <v>74.846653863199876</v>
      </c>
      <c r="K49">
        <v>2.6170261486187028</v>
      </c>
      <c r="L49">
        <v>6769</v>
      </c>
      <c r="M49" s="18">
        <v>25.385640419559756</v>
      </c>
      <c r="N49">
        <v>106</v>
      </c>
      <c r="O49">
        <v>1.8131481481481522</v>
      </c>
      <c r="P49" s="15">
        <v>22</v>
      </c>
      <c r="Q49" s="20">
        <v>0</v>
      </c>
      <c r="R49" s="18">
        <v>74.5</v>
      </c>
      <c r="S49">
        <v>23.49</v>
      </c>
      <c r="T49" s="15">
        <v>2</v>
      </c>
      <c r="U49">
        <v>56.859432707933223</v>
      </c>
      <c r="V49">
        <v>2</v>
      </c>
    </row>
    <row r="50" spans="1:22" x14ac:dyDescent="0.3">
      <c r="A50" s="3" t="s">
        <v>35</v>
      </c>
      <c r="B50" s="3">
        <v>2026</v>
      </c>
      <c r="C50" s="3" t="s">
        <v>108</v>
      </c>
      <c r="D50" s="3" t="s">
        <v>109</v>
      </c>
      <c r="E50" s="4">
        <v>46136</v>
      </c>
      <c r="F50" s="4">
        <v>46165</v>
      </c>
      <c r="G50" s="9">
        <v>0</v>
      </c>
      <c r="H50" s="3">
        <v>0</v>
      </c>
      <c r="I50" s="3">
        <v>0</v>
      </c>
      <c r="J50" s="14">
        <v>0</v>
      </c>
      <c r="K50" s="3">
        <v>2.6287243066884174</v>
      </c>
      <c r="L50" s="3">
        <v>6130</v>
      </c>
      <c r="M50" s="17">
        <v>31.010505709624795</v>
      </c>
      <c r="N50" s="3">
        <v>98</v>
      </c>
      <c r="O50" s="3">
        <v>2.1861689814814822</v>
      </c>
      <c r="P50" s="14">
        <v>10</v>
      </c>
      <c r="Q50" s="21">
        <v>0.1</v>
      </c>
      <c r="R50" s="17">
        <v>99.85</v>
      </c>
      <c r="S50" s="3">
        <v>0.14000000000000001</v>
      </c>
      <c r="T50" s="14">
        <v>0</v>
      </c>
      <c r="U50" s="3">
        <v>20</v>
      </c>
      <c r="V50" s="3">
        <v>2</v>
      </c>
    </row>
    <row r="51" spans="1:22" x14ac:dyDescent="0.3">
      <c r="A51" t="s">
        <v>35</v>
      </c>
      <c r="B51">
        <v>2026</v>
      </c>
      <c r="C51" t="s">
        <v>110</v>
      </c>
      <c r="D51" t="s">
        <v>111</v>
      </c>
      <c r="E51" s="5">
        <v>46159</v>
      </c>
      <c r="F51" s="5">
        <v>46165</v>
      </c>
      <c r="G51" s="10">
        <v>48</v>
      </c>
      <c r="H51">
        <v>6</v>
      </c>
      <c r="I51">
        <v>8</v>
      </c>
      <c r="J51" s="15">
        <v>78</v>
      </c>
      <c r="K51">
        <v>2.6</v>
      </c>
      <c r="L51">
        <v>2164</v>
      </c>
      <c r="M51" s="18">
        <v>26.9</v>
      </c>
      <c r="N51">
        <v>56</v>
      </c>
      <c r="O51">
        <v>0.51695601851851802</v>
      </c>
      <c r="Q51" s="20">
        <v>0</v>
      </c>
      <c r="R51" s="18">
        <v>2.41</v>
      </c>
      <c r="S51">
        <v>97.59</v>
      </c>
      <c r="T51" s="15">
        <v>0</v>
      </c>
    </row>
    <row r="52" spans="1:22" x14ac:dyDescent="0.3">
      <c r="A52" s="3" t="s">
        <v>35</v>
      </c>
      <c r="B52" s="3">
        <v>2026</v>
      </c>
      <c r="C52" s="3" t="s">
        <v>112</v>
      </c>
      <c r="D52" s="3" t="s">
        <v>111</v>
      </c>
      <c r="E52" s="4">
        <v>46140</v>
      </c>
      <c r="F52" s="4">
        <v>46155</v>
      </c>
      <c r="G52" s="9">
        <v>39</v>
      </c>
      <c r="H52" s="3">
        <v>16</v>
      </c>
      <c r="I52" s="3">
        <v>15</v>
      </c>
      <c r="J52" s="14">
        <v>76</v>
      </c>
      <c r="K52" s="3">
        <v>1.9099999999999997</v>
      </c>
      <c r="L52" s="3">
        <v>2504</v>
      </c>
      <c r="M52" s="17">
        <v>24.8</v>
      </c>
      <c r="N52" s="3">
        <v>57</v>
      </c>
      <c r="O52" s="3">
        <v>0.70943287037036995</v>
      </c>
      <c r="P52" s="14"/>
      <c r="Q52" s="21">
        <v>2.5</v>
      </c>
      <c r="R52" s="17"/>
      <c r="S52" s="3"/>
      <c r="T52" s="14"/>
      <c r="U52" s="3"/>
      <c r="V52" s="3"/>
    </row>
    <row r="53" spans="1:22" x14ac:dyDescent="0.3">
      <c r="A53" t="s">
        <v>35</v>
      </c>
      <c r="B53">
        <v>2026</v>
      </c>
      <c r="C53" t="s">
        <v>113</v>
      </c>
      <c r="D53" t="s">
        <v>114</v>
      </c>
      <c r="E53" s="5">
        <v>46136</v>
      </c>
      <c r="F53" s="5">
        <v>46141</v>
      </c>
      <c r="P53" s="15">
        <v>9</v>
      </c>
      <c r="Q53" s="20"/>
      <c r="R53" s="18">
        <v>0</v>
      </c>
      <c r="S53">
        <v>100</v>
      </c>
      <c r="T53" s="15">
        <v>0</v>
      </c>
      <c r="U53">
        <v>50</v>
      </c>
      <c r="V53">
        <v>0</v>
      </c>
    </row>
    <row r="54" spans="1:22" x14ac:dyDescent="0.3">
      <c r="A54" s="3" t="s">
        <v>35</v>
      </c>
      <c r="B54" s="3">
        <v>2026</v>
      </c>
      <c r="C54" s="3" t="s">
        <v>110</v>
      </c>
      <c r="D54" s="3" t="s">
        <v>111</v>
      </c>
      <c r="E54" s="4">
        <v>46159</v>
      </c>
      <c r="F54" s="4">
        <v>46165</v>
      </c>
      <c r="G54" s="9">
        <v>48</v>
      </c>
      <c r="H54" s="3">
        <v>6</v>
      </c>
      <c r="I54" s="3">
        <v>8</v>
      </c>
      <c r="J54" s="14">
        <v>78</v>
      </c>
      <c r="K54" s="3">
        <v>2.6</v>
      </c>
      <c r="L54" s="3">
        <v>2164</v>
      </c>
      <c r="M54" s="17">
        <v>26.9</v>
      </c>
      <c r="N54" s="3">
        <v>56</v>
      </c>
      <c r="O54" s="3">
        <v>0.51695601851851802</v>
      </c>
      <c r="P54" s="14">
        <v>6</v>
      </c>
      <c r="Q54" s="21">
        <v>0</v>
      </c>
      <c r="R54" s="17">
        <v>2.41</v>
      </c>
      <c r="S54" s="3">
        <v>97.59</v>
      </c>
      <c r="T54" s="14">
        <v>0</v>
      </c>
      <c r="U54" s="3">
        <v>59</v>
      </c>
      <c r="V54" s="3">
        <v>1</v>
      </c>
    </row>
    <row r="55" spans="1:22" x14ac:dyDescent="0.3">
      <c r="A55" t="s">
        <v>35</v>
      </c>
      <c r="B55">
        <v>2026</v>
      </c>
      <c r="C55" t="s">
        <v>112</v>
      </c>
      <c r="D55" t="s">
        <v>111</v>
      </c>
      <c r="E55" s="5">
        <v>46140</v>
      </c>
      <c r="F55" s="5">
        <v>46155</v>
      </c>
      <c r="G55" s="10">
        <v>39</v>
      </c>
      <c r="H55">
        <v>16</v>
      </c>
      <c r="I55">
        <v>15</v>
      </c>
      <c r="J55" s="15">
        <v>76</v>
      </c>
      <c r="K55">
        <v>1.9099999999999997</v>
      </c>
      <c r="L55">
        <v>2504</v>
      </c>
      <c r="M55" s="18">
        <v>24.8</v>
      </c>
      <c r="N55">
        <v>57</v>
      </c>
      <c r="O55">
        <v>0.70943287037036995</v>
      </c>
      <c r="P55" s="15">
        <v>8</v>
      </c>
      <c r="Q55" s="20">
        <v>2.5</v>
      </c>
      <c r="U55">
        <v>9.5</v>
      </c>
      <c r="V55">
        <v>4</v>
      </c>
    </row>
    <row r="56" spans="1:22" x14ac:dyDescent="0.3">
      <c r="A56" s="3" t="s">
        <v>35</v>
      </c>
      <c r="B56" s="3">
        <v>2026</v>
      </c>
      <c r="C56" s="3" t="s">
        <v>115</v>
      </c>
      <c r="D56" s="3" t="s">
        <v>116</v>
      </c>
      <c r="E56" s="4">
        <v>46136</v>
      </c>
      <c r="F56" s="4">
        <v>46153</v>
      </c>
      <c r="G56" s="9">
        <v>86</v>
      </c>
      <c r="H56" s="3">
        <v>70</v>
      </c>
      <c r="I56" s="3">
        <v>98</v>
      </c>
      <c r="J56" s="14">
        <v>91</v>
      </c>
      <c r="K56" s="3">
        <v>2.44</v>
      </c>
      <c r="L56" s="3">
        <v>3044</v>
      </c>
      <c r="M56" s="17">
        <v>20.8</v>
      </c>
      <c r="N56" s="3">
        <v>41</v>
      </c>
      <c r="O56" s="3">
        <v>0.68950231481481505</v>
      </c>
      <c r="P56" s="14">
        <v>27</v>
      </c>
      <c r="Q56" s="21">
        <v>0.1</v>
      </c>
      <c r="R56" s="17">
        <v>0</v>
      </c>
      <c r="S56" s="3">
        <v>100</v>
      </c>
      <c r="T56" s="14">
        <v>0</v>
      </c>
      <c r="U56" s="3">
        <v>93</v>
      </c>
      <c r="V56" s="3">
        <v>0</v>
      </c>
    </row>
    <row r="57" spans="1:22" x14ac:dyDescent="0.3">
      <c r="A57" t="s">
        <v>35</v>
      </c>
      <c r="B57">
        <v>2026</v>
      </c>
      <c r="C57" t="s">
        <v>117</v>
      </c>
      <c r="D57" t="s">
        <v>116</v>
      </c>
      <c r="E57" s="5">
        <v>46160</v>
      </c>
      <c r="F57" s="5">
        <v>46165</v>
      </c>
      <c r="G57" s="10">
        <v>58</v>
      </c>
      <c r="H57">
        <v>41</v>
      </c>
      <c r="I57">
        <v>70</v>
      </c>
      <c r="J57" s="15">
        <v>64</v>
      </c>
      <c r="K57">
        <v>2.2799999999999998</v>
      </c>
      <c r="L57">
        <v>1728</v>
      </c>
      <c r="M57" s="18">
        <v>22.4</v>
      </c>
      <c r="N57">
        <v>18</v>
      </c>
      <c r="O57">
        <v>0.34758101851851902</v>
      </c>
      <c r="P57" s="15">
        <v>5</v>
      </c>
      <c r="Q57" s="20">
        <v>0.4</v>
      </c>
      <c r="R57" s="18">
        <v>0</v>
      </c>
      <c r="S57">
        <v>99.43</v>
      </c>
      <c r="T57" s="15">
        <v>0.56999999999999995</v>
      </c>
      <c r="U57">
        <v>64</v>
      </c>
      <c r="V57">
        <v>1</v>
      </c>
    </row>
    <row r="58" spans="1:22" x14ac:dyDescent="0.3">
      <c r="A58" s="3" t="s">
        <v>35</v>
      </c>
      <c r="B58" s="3">
        <v>2026</v>
      </c>
      <c r="C58" s="3" t="s">
        <v>118</v>
      </c>
      <c r="D58" s="3" t="s">
        <v>119</v>
      </c>
      <c r="E58" s="4">
        <v>46136</v>
      </c>
      <c r="F58" s="4">
        <v>46165</v>
      </c>
      <c r="G58" s="9">
        <v>41</v>
      </c>
      <c r="H58" s="3">
        <v>28</v>
      </c>
      <c r="I58" s="3">
        <v>53</v>
      </c>
      <c r="J58" s="14">
        <v>41</v>
      </c>
      <c r="K58" s="3">
        <v>2.5099999999999998</v>
      </c>
      <c r="L58" s="3">
        <v>5409</v>
      </c>
      <c r="M58" s="17">
        <v>27.2</v>
      </c>
      <c r="N58" s="3">
        <v>80</v>
      </c>
      <c r="O58" s="3">
        <v>1.4485185185185201</v>
      </c>
      <c r="P58" s="14">
        <v>38</v>
      </c>
      <c r="Q58" s="21">
        <v>0.3</v>
      </c>
      <c r="R58" s="17">
        <v>99.42</v>
      </c>
      <c r="S58" s="3">
        <v>0.57999999999999996</v>
      </c>
      <c r="T58" s="14">
        <v>0</v>
      </c>
      <c r="U58" s="3">
        <v>70.5</v>
      </c>
      <c r="V58" s="3">
        <v>0</v>
      </c>
    </row>
    <row r="59" spans="1:22" x14ac:dyDescent="0.3">
      <c r="A59" t="s">
        <v>35</v>
      </c>
      <c r="B59">
        <v>2026</v>
      </c>
      <c r="C59" t="s">
        <v>110</v>
      </c>
      <c r="D59" t="s">
        <v>120</v>
      </c>
      <c r="E59" s="5">
        <v>46136</v>
      </c>
      <c r="F59" s="5">
        <v>46158</v>
      </c>
      <c r="G59" s="10">
        <v>26</v>
      </c>
      <c r="H59">
        <v>10</v>
      </c>
      <c r="I59">
        <v>9</v>
      </c>
      <c r="J59" s="15">
        <v>58</v>
      </c>
      <c r="K59">
        <v>2.78</v>
      </c>
      <c r="L59">
        <v>8531</v>
      </c>
      <c r="M59" s="18">
        <v>30.4</v>
      </c>
      <c r="N59">
        <v>112</v>
      </c>
      <c r="O59">
        <v>2.47966435185185</v>
      </c>
      <c r="P59" s="15">
        <v>25</v>
      </c>
      <c r="Q59" s="20">
        <v>0</v>
      </c>
      <c r="R59" s="18">
        <v>100</v>
      </c>
      <c r="S59">
        <v>0</v>
      </c>
      <c r="T59" s="15">
        <v>0</v>
      </c>
      <c r="U59">
        <v>33</v>
      </c>
      <c r="V59">
        <v>2</v>
      </c>
    </row>
    <row r="60" spans="1:22" x14ac:dyDescent="0.3">
      <c r="A60" s="3" t="s">
        <v>35</v>
      </c>
      <c r="B60" s="3">
        <v>2026</v>
      </c>
      <c r="C60" s="3" t="s">
        <v>121</v>
      </c>
      <c r="D60" s="3" t="s">
        <v>122</v>
      </c>
      <c r="E60" s="4">
        <v>46136</v>
      </c>
      <c r="F60" s="4">
        <v>46153</v>
      </c>
      <c r="G60" s="9">
        <v>76</v>
      </c>
      <c r="H60" s="3">
        <v>64</v>
      </c>
      <c r="I60" s="3">
        <v>87</v>
      </c>
      <c r="J60" s="14">
        <v>0</v>
      </c>
      <c r="K60" s="3">
        <v>2.39</v>
      </c>
      <c r="L60" s="3">
        <v>3425</v>
      </c>
      <c r="M60" s="17">
        <v>26.3</v>
      </c>
      <c r="N60" s="3">
        <v>54</v>
      </c>
      <c r="O60" s="3">
        <v>1.0014930555555599</v>
      </c>
      <c r="P60" s="14">
        <v>33</v>
      </c>
      <c r="Q60" s="21">
        <v>0.4</v>
      </c>
      <c r="R60" s="17">
        <v>44.65</v>
      </c>
      <c r="S60" s="3">
        <v>54.88</v>
      </c>
      <c r="T60" s="14">
        <v>0.47</v>
      </c>
      <c r="U60" s="3">
        <v>88</v>
      </c>
      <c r="V60" s="3">
        <v>0</v>
      </c>
    </row>
    <row r="61" spans="1:22" x14ac:dyDescent="0.3">
      <c r="A61" t="s">
        <v>35</v>
      </c>
      <c r="B61">
        <v>2026</v>
      </c>
      <c r="C61" t="s">
        <v>121</v>
      </c>
      <c r="D61" t="s">
        <v>123</v>
      </c>
      <c r="E61" s="5">
        <v>46160</v>
      </c>
      <c r="F61" s="5">
        <v>46165</v>
      </c>
      <c r="G61" s="10">
        <v>80</v>
      </c>
      <c r="H61">
        <v>57</v>
      </c>
      <c r="I61">
        <v>92</v>
      </c>
      <c r="J61" s="15">
        <v>91</v>
      </c>
      <c r="K61">
        <v>2.4700000000000002</v>
      </c>
      <c r="L61">
        <v>1740</v>
      </c>
      <c r="M61" s="18">
        <v>19.8</v>
      </c>
      <c r="N61">
        <v>12</v>
      </c>
      <c r="O61">
        <v>0.30075231481481501</v>
      </c>
      <c r="P61" s="15">
        <v>7</v>
      </c>
      <c r="Q61" s="20">
        <v>3.2</v>
      </c>
      <c r="R61" s="18">
        <v>47.08</v>
      </c>
      <c r="S61">
        <v>52.76</v>
      </c>
      <c r="T61" s="15">
        <v>0.04</v>
      </c>
      <c r="U61">
        <v>45</v>
      </c>
      <c r="V61">
        <v>3</v>
      </c>
    </row>
    <row r="62" spans="1:22" x14ac:dyDescent="0.3">
      <c r="A62" s="3" t="s">
        <v>35</v>
      </c>
      <c r="B62" s="3">
        <v>2026</v>
      </c>
      <c r="C62" s="3" t="s">
        <v>74</v>
      </c>
      <c r="D62" s="3" t="s">
        <v>123</v>
      </c>
      <c r="E62" s="4">
        <v>46136</v>
      </c>
      <c r="F62" s="4">
        <v>46153</v>
      </c>
      <c r="G62" s="9">
        <v>72</v>
      </c>
      <c r="H62" s="3">
        <v>51</v>
      </c>
      <c r="I62" s="3">
        <v>77</v>
      </c>
      <c r="J62" s="14">
        <v>87</v>
      </c>
      <c r="K62" s="3">
        <v>2.5</v>
      </c>
      <c r="L62" s="3">
        <v>2832</v>
      </c>
      <c r="M62" s="17">
        <v>20.8</v>
      </c>
      <c r="N62" s="3">
        <v>27</v>
      </c>
      <c r="O62" s="3">
        <v>0.61822916666666627</v>
      </c>
      <c r="P62" s="14">
        <v>5</v>
      </c>
      <c r="Q62" s="21">
        <v>1.1000000000000001</v>
      </c>
      <c r="R62" s="17">
        <v>94.6</v>
      </c>
      <c r="S62" s="3">
        <v>5.39</v>
      </c>
      <c r="T62" s="14">
        <v>0</v>
      </c>
      <c r="U62" s="3">
        <v>71</v>
      </c>
      <c r="V62" s="3">
        <v>1</v>
      </c>
    </row>
    <row r="63" spans="1:22" x14ac:dyDescent="0.3">
      <c r="A63" t="s">
        <v>35</v>
      </c>
      <c r="B63">
        <v>2026</v>
      </c>
      <c r="C63" t="s">
        <v>124</v>
      </c>
      <c r="D63" t="s">
        <v>125</v>
      </c>
      <c r="E63" s="5">
        <v>46136</v>
      </c>
      <c r="F63" s="5">
        <v>46165</v>
      </c>
      <c r="G63" s="10">
        <v>71</v>
      </c>
      <c r="H63">
        <v>53</v>
      </c>
      <c r="I63">
        <v>79</v>
      </c>
      <c r="J63" s="15">
        <v>81</v>
      </c>
      <c r="K63">
        <v>2.54</v>
      </c>
      <c r="L63">
        <v>3114</v>
      </c>
      <c r="M63" s="18">
        <v>23</v>
      </c>
      <c r="N63">
        <v>39</v>
      </c>
      <c r="O63">
        <v>0.73627314814814837</v>
      </c>
      <c r="P63" s="15">
        <v>37</v>
      </c>
      <c r="Q63" s="20">
        <v>0.6</v>
      </c>
      <c r="R63" s="18">
        <v>64.28</v>
      </c>
      <c r="S63">
        <v>35.659999999999997</v>
      </c>
      <c r="T63" s="15">
        <v>0.05</v>
      </c>
      <c r="U63">
        <v>70.5</v>
      </c>
      <c r="V63">
        <v>1</v>
      </c>
    </row>
    <row r="64" spans="1:22" x14ac:dyDescent="0.3">
      <c r="A64" s="3" t="s">
        <v>35</v>
      </c>
      <c r="B64" s="3">
        <v>2026</v>
      </c>
      <c r="C64" s="3" t="s">
        <v>126</v>
      </c>
      <c r="D64" s="3" t="s">
        <v>127</v>
      </c>
      <c r="E64" s="4">
        <v>46136</v>
      </c>
      <c r="F64" s="4">
        <v>46165</v>
      </c>
      <c r="G64" s="9">
        <v>61.970410628019323</v>
      </c>
      <c r="H64" s="3">
        <v>39.99154589371981</v>
      </c>
      <c r="I64" s="3">
        <v>64.960748792270536</v>
      </c>
      <c r="J64" s="14">
        <v>81.950483091787433</v>
      </c>
      <c r="K64" s="3">
        <v>2.4430615942028986</v>
      </c>
      <c r="L64" s="3">
        <v>4968</v>
      </c>
      <c r="M64" s="17">
        <v>22.503683574879229</v>
      </c>
      <c r="N64" s="3">
        <v>49</v>
      </c>
      <c r="O64" s="3">
        <v>1.1497685185185187</v>
      </c>
      <c r="P64" s="14">
        <v>29</v>
      </c>
      <c r="Q64" s="21">
        <v>1.3991545893719808</v>
      </c>
      <c r="R64" s="17">
        <v>88.77</v>
      </c>
      <c r="S64" s="3">
        <v>11.23</v>
      </c>
      <c r="T64" s="14">
        <v>0</v>
      </c>
      <c r="U64" s="3">
        <v>35.985205314009661</v>
      </c>
      <c r="V64" s="3">
        <v>3</v>
      </c>
    </row>
    <row r="65" spans="1:22" x14ac:dyDescent="0.3">
      <c r="A65" t="s">
        <v>35</v>
      </c>
      <c r="B65">
        <v>2026</v>
      </c>
      <c r="C65" t="s">
        <v>128</v>
      </c>
      <c r="D65" t="s">
        <v>129</v>
      </c>
      <c r="E65" s="5">
        <v>46136</v>
      </c>
      <c r="F65" s="5">
        <v>46165</v>
      </c>
      <c r="P65" s="15">
        <v>29</v>
      </c>
      <c r="U65">
        <v>50</v>
      </c>
    </row>
    <row r="66" spans="1:22" x14ac:dyDescent="0.3">
      <c r="A66" s="3" t="s">
        <v>130</v>
      </c>
      <c r="B66" s="3">
        <v>2026</v>
      </c>
      <c r="C66" s="3" t="s">
        <v>92</v>
      </c>
      <c r="D66" s="3" t="s">
        <v>37</v>
      </c>
      <c r="E66" s="4">
        <v>46129</v>
      </c>
      <c r="F66" s="4">
        <v>46135</v>
      </c>
      <c r="G66" s="9"/>
      <c r="H66" s="3"/>
      <c r="I66" s="3"/>
      <c r="J66" s="14"/>
      <c r="K66" s="3"/>
      <c r="L66" s="3"/>
      <c r="M66" s="17"/>
      <c r="N66" s="3"/>
      <c r="O66" s="3"/>
      <c r="P66" s="14"/>
      <c r="Q66" s="3"/>
      <c r="R66" s="17"/>
      <c r="S66" s="3"/>
      <c r="T66" s="14"/>
      <c r="U66" s="3"/>
      <c r="V66" s="3"/>
    </row>
    <row r="67" spans="1:22" x14ac:dyDescent="0.3">
      <c r="A67" t="s">
        <v>130</v>
      </c>
      <c r="B67">
        <v>2026</v>
      </c>
      <c r="C67" t="s">
        <v>56</v>
      </c>
      <c r="D67" t="s">
        <v>39</v>
      </c>
      <c r="E67" s="5">
        <v>46105</v>
      </c>
      <c r="F67" s="5">
        <v>46109</v>
      </c>
    </row>
    <row r="68" spans="1:22" x14ac:dyDescent="0.3">
      <c r="A68" s="3" t="s">
        <v>130</v>
      </c>
      <c r="B68" s="3">
        <v>2026</v>
      </c>
      <c r="C68" s="3" t="s">
        <v>36</v>
      </c>
      <c r="D68" s="3" t="s">
        <v>40</v>
      </c>
      <c r="E68" s="4">
        <v>46105</v>
      </c>
      <c r="F68" s="4">
        <v>46135</v>
      </c>
      <c r="G68" s="9"/>
      <c r="H68" s="3"/>
      <c r="I68" s="3"/>
      <c r="J68" s="14"/>
      <c r="K68" s="3"/>
      <c r="L68" s="3"/>
      <c r="M68" s="17"/>
      <c r="N68" s="3"/>
      <c r="O68" s="3"/>
      <c r="P68" s="14"/>
      <c r="Q68" s="3"/>
      <c r="R68" s="17"/>
      <c r="S68" s="3"/>
      <c r="T68" s="14"/>
      <c r="U68" s="3"/>
      <c r="V68" s="3"/>
    </row>
    <row r="69" spans="1:22" x14ac:dyDescent="0.3">
      <c r="A69" t="s">
        <v>130</v>
      </c>
      <c r="B69">
        <v>2026</v>
      </c>
      <c r="C69" t="s">
        <v>131</v>
      </c>
      <c r="D69" t="s">
        <v>42</v>
      </c>
      <c r="E69" s="5">
        <v>46105</v>
      </c>
      <c r="F69" s="5">
        <v>46135</v>
      </c>
    </row>
    <row r="70" spans="1:22" x14ac:dyDescent="0.3">
      <c r="A70" s="3" t="s">
        <v>130</v>
      </c>
      <c r="B70" s="3">
        <v>2026</v>
      </c>
      <c r="C70" s="3" t="s">
        <v>43</v>
      </c>
      <c r="D70" s="3" t="s">
        <v>44</v>
      </c>
      <c r="E70" s="4">
        <v>46115</v>
      </c>
      <c r="F70" s="4">
        <v>46118</v>
      </c>
      <c r="G70" s="9"/>
      <c r="H70" s="3"/>
      <c r="I70" s="3"/>
      <c r="J70" s="14"/>
      <c r="K70" s="3"/>
      <c r="L70" s="3"/>
      <c r="M70" s="17"/>
      <c r="N70" s="3"/>
      <c r="O70" s="3"/>
      <c r="P70" s="14"/>
      <c r="Q70" s="3"/>
      <c r="R70" s="17"/>
      <c r="S70" s="3"/>
      <c r="T70" s="14"/>
      <c r="U70" s="3"/>
      <c r="V70" s="3"/>
    </row>
    <row r="71" spans="1:22" x14ac:dyDescent="0.3">
      <c r="A71" t="s">
        <v>130</v>
      </c>
      <c r="B71">
        <v>2026</v>
      </c>
      <c r="C71" t="s">
        <v>132</v>
      </c>
      <c r="D71" t="s">
        <v>46</v>
      </c>
      <c r="E71" s="5">
        <v>46105</v>
      </c>
      <c r="F71" s="5">
        <v>46120</v>
      </c>
    </row>
    <row r="72" spans="1:22" x14ac:dyDescent="0.3">
      <c r="A72" s="3" t="s">
        <v>130</v>
      </c>
      <c r="B72" s="3">
        <v>2026</v>
      </c>
      <c r="C72" s="3" t="s">
        <v>48</v>
      </c>
      <c r="D72" s="3" t="s">
        <v>49</v>
      </c>
      <c r="E72" s="4">
        <v>46105</v>
      </c>
      <c r="F72" s="4">
        <v>46135</v>
      </c>
      <c r="G72" s="9"/>
      <c r="H72" s="3"/>
      <c r="I72" s="3"/>
      <c r="J72" s="14"/>
      <c r="K72" s="3"/>
      <c r="L72" s="3"/>
      <c r="M72" s="17"/>
      <c r="N72" s="3"/>
      <c r="O72" s="3"/>
      <c r="P72" s="14"/>
      <c r="Q72" s="3"/>
      <c r="R72" s="17"/>
      <c r="S72" s="3"/>
      <c r="T72" s="14"/>
      <c r="U72" s="3"/>
      <c r="V72" s="3"/>
    </row>
    <row r="73" spans="1:22" x14ac:dyDescent="0.3">
      <c r="A73" t="s">
        <v>130</v>
      </c>
      <c r="B73">
        <v>2026</v>
      </c>
      <c r="C73" t="s">
        <v>38</v>
      </c>
      <c r="D73" t="s">
        <v>50</v>
      </c>
      <c r="E73" s="5">
        <v>46105</v>
      </c>
      <c r="F73" s="5">
        <v>46135</v>
      </c>
    </row>
    <row r="74" spans="1:22" x14ac:dyDescent="0.3">
      <c r="A74" s="3" t="s">
        <v>130</v>
      </c>
      <c r="B74" s="3">
        <v>2026</v>
      </c>
      <c r="C74" s="3" t="s">
        <v>52</v>
      </c>
      <c r="D74" s="3" t="s">
        <v>53</v>
      </c>
      <c r="E74" s="4">
        <v>46105</v>
      </c>
      <c r="F74" s="4">
        <v>46135</v>
      </c>
      <c r="G74" s="9">
        <v>58</v>
      </c>
      <c r="H74" s="3"/>
      <c r="I74" s="3"/>
      <c r="J74" s="14"/>
      <c r="K74" s="3">
        <v>2.81</v>
      </c>
      <c r="L74" s="3">
        <v>4388</v>
      </c>
      <c r="M74" s="17">
        <v>27.4</v>
      </c>
      <c r="N74" s="3">
        <v>0</v>
      </c>
      <c r="O74" s="3">
        <v>1.1766302083333324</v>
      </c>
      <c r="P74" s="14">
        <v>42</v>
      </c>
      <c r="Q74" s="3">
        <v>0.4</v>
      </c>
      <c r="R74" s="17"/>
      <c r="S74" s="3"/>
      <c r="T74" s="14"/>
      <c r="U74" s="3">
        <v>64</v>
      </c>
      <c r="V74" s="3">
        <v>1</v>
      </c>
    </row>
    <row r="75" spans="1:22" x14ac:dyDescent="0.3">
      <c r="A75" t="s">
        <v>130</v>
      </c>
      <c r="B75">
        <v>2026</v>
      </c>
      <c r="C75" t="s">
        <v>54</v>
      </c>
      <c r="D75" t="s">
        <v>55</v>
      </c>
      <c r="E75" s="5">
        <v>46105</v>
      </c>
      <c r="F75" s="5">
        <v>46135</v>
      </c>
      <c r="G75" s="10">
        <v>51</v>
      </c>
      <c r="K75">
        <v>2.48</v>
      </c>
      <c r="L75">
        <v>5324</v>
      </c>
      <c r="M75" s="18">
        <v>24.6</v>
      </c>
      <c r="N75">
        <v>0</v>
      </c>
      <c r="O75">
        <v>1.5052352777777773</v>
      </c>
      <c r="P75" s="15">
        <v>53</v>
      </c>
      <c r="Q75">
        <v>0.5</v>
      </c>
      <c r="U75">
        <v>75.5</v>
      </c>
      <c r="V75">
        <v>0</v>
      </c>
    </row>
    <row r="76" spans="1:22" x14ac:dyDescent="0.3">
      <c r="A76" s="3" t="s">
        <v>130</v>
      </c>
      <c r="B76" s="3">
        <v>2026</v>
      </c>
      <c r="C76" s="3" t="s">
        <v>99</v>
      </c>
      <c r="D76" s="3" t="s">
        <v>57</v>
      </c>
      <c r="E76" s="4">
        <v>46105</v>
      </c>
      <c r="F76" s="4">
        <v>46109</v>
      </c>
      <c r="G76" s="9">
        <v>71</v>
      </c>
      <c r="H76" s="3"/>
      <c r="I76" s="3"/>
      <c r="J76" s="14"/>
      <c r="K76" s="3">
        <v>2.0499999999999998</v>
      </c>
      <c r="L76" s="3">
        <v>901</v>
      </c>
      <c r="M76" s="17">
        <v>23.2</v>
      </c>
      <c r="N76" s="3">
        <v>0</v>
      </c>
      <c r="O76" s="3">
        <v>0.23641175925925839</v>
      </c>
      <c r="P76" s="14">
        <v>6</v>
      </c>
      <c r="Q76" s="3">
        <v>0.2</v>
      </c>
      <c r="R76" s="17"/>
      <c r="S76" s="3"/>
      <c r="T76" s="14"/>
      <c r="U76" s="3">
        <v>85.5</v>
      </c>
      <c r="V76" s="3">
        <v>0</v>
      </c>
    </row>
    <row r="77" spans="1:22" x14ac:dyDescent="0.3">
      <c r="A77" t="s">
        <v>130</v>
      </c>
      <c r="B77">
        <v>2026</v>
      </c>
      <c r="C77" t="s">
        <v>56</v>
      </c>
      <c r="D77" t="s">
        <v>57</v>
      </c>
      <c r="E77" s="5">
        <v>46110</v>
      </c>
      <c r="F77" s="5">
        <v>46135</v>
      </c>
      <c r="G77" s="10">
        <v>41</v>
      </c>
      <c r="K77">
        <v>2.35</v>
      </c>
      <c r="L77">
        <v>5212</v>
      </c>
      <c r="M77" s="18">
        <v>28.8</v>
      </c>
      <c r="N77">
        <v>0</v>
      </c>
      <c r="O77">
        <v>1.6255466666666669</v>
      </c>
      <c r="P77" s="15">
        <v>34</v>
      </c>
      <c r="Q77">
        <v>1.2</v>
      </c>
      <c r="U77">
        <v>40.5</v>
      </c>
      <c r="V77">
        <v>2</v>
      </c>
    </row>
    <row r="78" spans="1:22" x14ac:dyDescent="0.3">
      <c r="A78" s="3" t="s">
        <v>130</v>
      </c>
      <c r="B78" s="3">
        <v>2026</v>
      </c>
      <c r="C78" s="3" t="s">
        <v>58</v>
      </c>
      <c r="D78" s="3" t="s">
        <v>59</v>
      </c>
      <c r="E78" s="4">
        <v>46105</v>
      </c>
      <c r="F78" s="4">
        <v>46135</v>
      </c>
      <c r="G78" s="9">
        <v>75</v>
      </c>
      <c r="H78" s="3"/>
      <c r="I78" s="3"/>
      <c r="J78" s="14"/>
      <c r="K78" s="3">
        <v>2.34</v>
      </c>
      <c r="L78" s="3">
        <v>5548</v>
      </c>
      <c r="M78" s="17">
        <v>25.3</v>
      </c>
      <c r="N78" s="3">
        <v>0</v>
      </c>
      <c r="O78" s="3">
        <v>1.6052000810185181</v>
      </c>
      <c r="P78" s="14">
        <v>56</v>
      </c>
      <c r="Q78" s="3">
        <v>0.1</v>
      </c>
      <c r="R78" s="17"/>
      <c r="S78" s="3"/>
      <c r="T78" s="14"/>
      <c r="U78" s="3">
        <v>87.5</v>
      </c>
      <c r="V78" s="3">
        <v>0</v>
      </c>
    </row>
    <row r="79" spans="1:22" x14ac:dyDescent="0.3">
      <c r="A79" t="s">
        <v>130</v>
      </c>
      <c r="B79">
        <v>2026</v>
      </c>
      <c r="C79" t="s">
        <v>60</v>
      </c>
      <c r="D79" t="s">
        <v>61</v>
      </c>
      <c r="E79" s="5">
        <v>46105</v>
      </c>
      <c r="F79" s="5">
        <v>46135</v>
      </c>
      <c r="G79" s="10">
        <v>81</v>
      </c>
      <c r="K79">
        <v>2.4</v>
      </c>
      <c r="L79">
        <v>3196</v>
      </c>
      <c r="M79" s="18">
        <v>31.4</v>
      </c>
      <c r="N79">
        <v>0</v>
      </c>
      <c r="O79">
        <v>1.2393514583333343</v>
      </c>
      <c r="P79" s="15">
        <v>40</v>
      </c>
      <c r="Q79">
        <v>0.4</v>
      </c>
      <c r="U79">
        <v>90.5</v>
      </c>
      <c r="V79">
        <v>0</v>
      </c>
    </row>
    <row r="80" spans="1:22" x14ac:dyDescent="0.3">
      <c r="A80" s="3" t="s">
        <v>130</v>
      </c>
      <c r="B80" s="3">
        <v>2026</v>
      </c>
      <c r="C80" s="3" t="s">
        <v>62</v>
      </c>
      <c r="D80" s="3" t="s">
        <v>63</v>
      </c>
      <c r="E80" s="4">
        <v>46105</v>
      </c>
      <c r="F80" s="4">
        <v>46135</v>
      </c>
      <c r="G80" s="9">
        <v>94</v>
      </c>
      <c r="H80" s="3"/>
      <c r="I80" s="3"/>
      <c r="J80" s="14"/>
      <c r="K80" s="3">
        <v>2.4649999999999999</v>
      </c>
      <c r="L80" s="3">
        <v>7930</v>
      </c>
      <c r="M80" s="17">
        <v>31.849999999999998</v>
      </c>
      <c r="N80" s="3">
        <v>0</v>
      </c>
      <c r="O80" s="3">
        <v>1.9810390162037019</v>
      </c>
      <c r="P80" s="14">
        <v>47</v>
      </c>
      <c r="Q80" s="3">
        <v>0.1</v>
      </c>
      <c r="R80" s="17"/>
      <c r="S80" s="3"/>
      <c r="T80" s="14"/>
      <c r="U80" s="3">
        <v>97</v>
      </c>
      <c r="V80" s="3">
        <v>0</v>
      </c>
    </row>
    <row r="81" spans="1:22" x14ac:dyDescent="0.3">
      <c r="A81" t="s">
        <v>130</v>
      </c>
      <c r="B81">
        <v>2026</v>
      </c>
      <c r="C81" t="s">
        <v>65</v>
      </c>
      <c r="D81" t="s">
        <v>66</v>
      </c>
      <c r="E81" s="5">
        <v>46105</v>
      </c>
      <c r="F81" s="5">
        <v>46135</v>
      </c>
      <c r="G81" s="10">
        <v>76</v>
      </c>
      <c r="K81">
        <v>2.4249999999999998</v>
      </c>
      <c r="L81">
        <v>6955</v>
      </c>
      <c r="M81" s="18">
        <v>24.55</v>
      </c>
      <c r="N81">
        <v>0</v>
      </c>
      <c r="O81">
        <v>1.7906400462962959</v>
      </c>
      <c r="P81" s="15">
        <v>54</v>
      </c>
      <c r="Q81">
        <v>0.35</v>
      </c>
      <c r="U81">
        <v>88</v>
      </c>
      <c r="V81">
        <v>0</v>
      </c>
    </row>
    <row r="82" spans="1:22" x14ac:dyDescent="0.3">
      <c r="A82" s="3" t="s">
        <v>130</v>
      </c>
      <c r="B82" s="3">
        <v>2026</v>
      </c>
      <c r="C82" s="3" t="s">
        <v>67</v>
      </c>
      <c r="D82" s="3" t="s">
        <v>68</v>
      </c>
      <c r="E82" s="4">
        <v>46105</v>
      </c>
      <c r="F82" s="4">
        <v>46135</v>
      </c>
      <c r="G82" s="9">
        <v>65</v>
      </c>
      <c r="H82" s="3"/>
      <c r="I82" s="3"/>
      <c r="J82" s="14"/>
      <c r="K82" s="3">
        <v>2.2599999999999998</v>
      </c>
      <c r="L82" s="3">
        <v>4959</v>
      </c>
      <c r="M82" s="17">
        <v>30.8</v>
      </c>
      <c r="N82" s="3">
        <v>0</v>
      </c>
      <c r="O82" s="3">
        <v>1.8249035648148135</v>
      </c>
      <c r="P82" s="14">
        <v>47</v>
      </c>
      <c r="Q82" s="3">
        <v>0.2</v>
      </c>
      <c r="R82" s="17"/>
      <c r="S82" s="3"/>
      <c r="T82" s="14"/>
      <c r="U82" s="3">
        <v>82.5</v>
      </c>
      <c r="V82" s="3">
        <v>0</v>
      </c>
    </row>
    <row r="83" spans="1:22" x14ac:dyDescent="0.3">
      <c r="A83" t="s">
        <v>130</v>
      </c>
      <c r="B83">
        <v>2026</v>
      </c>
      <c r="C83" t="s">
        <v>70</v>
      </c>
      <c r="D83" t="s">
        <v>71</v>
      </c>
      <c r="E83" s="5">
        <v>46105</v>
      </c>
      <c r="F83" s="5">
        <v>46135</v>
      </c>
      <c r="G83" s="10">
        <v>73</v>
      </c>
      <c r="K83">
        <v>2.58</v>
      </c>
      <c r="L83">
        <v>5264</v>
      </c>
      <c r="M83" s="18">
        <v>21.9</v>
      </c>
      <c r="N83">
        <v>0</v>
      </c>
      <c r="O83">
        <v>1.0476032291666668</v>
      </c>
      <c r="P83" s="15">
        <v>40</v>
      </c>
      <c r="Q83">
        <v>1.1000000000000001</v>
      </c>
      <c r="U83">
        <v>71.5</v>
      </c>
      <c r="V83">
        <v>1</v>
      </c>
    </row>
    <row r="84" spans="1:22" x14ac:dyDescent="0.3">
      <c r="A84" s="3" t="s">
        <v>130</v>
      </c>
      <c r="B84" s="3">
        <v>2026</v>
      </c>
      <c r="C84" s="3" t="s">
        <v>72</v>
      </c>
      <c r="D84" s="3" t="s">
        <v>73</v>
      </c>
      <c r="E84" s="4">
        <v>46105</v>
      </c>
      <c r="F84" s="4">
        <v>46135</v>
      </c>
      <c r="G84" s="9">
        <v>76</v>
      </c>
      <c r="H84" s="3"/>
      <c r="I84" s="3"/>
      <c r="J84" s="14"/>
      <c r="K84" s="3">
        <v>2.2400000000000002</v>
      </c>
      <c r="L84" s="3">
        <v>5160</v>
      </c>
      <c r="M84" s="17">
        <v>25.9</v>
      </c>
      <c r="N84" s="3">
        <v>0</v>
      </c>
      <c r="O84" s="3">
        <v>1.4798012962962965</v>
      </c>
      <c r="P84" s="14">
        <v>45</v>
      </c>
      <c r="Q84" s="3">
        <v>0.4</v>
      </c>
      <c r="R84" s="17"/>
      <c r="S84" s="3"/>
      <c r="T84" s="14"/>
      <c r="U84" s="3">
        <v>88</v>
      </c>
      <c r="V84" s="3">
        <v>0</v>
      </c>
    </row>
    <row r="85" spans="1:22" x14ac:dyDescent="0.3">
      <c r="A85" t="s">
        <v>130</v>
      </c>
      <c r="B85">
        <v>2026</v>
      </c>
      <c r="C85" t="s">
        <v>133</v>
      </c>
      <c r="D85" t="s">
        <v>75</v>
      </c>
      <c r="E85" s="5">
        <v>46105</v>
      </c>
      <c r="F85" s="5">
        <v>46135</v>
      </c>
      <c r="G85" s="10">
        <v>86</v>
      </c>
      <c r="K85">
        <v>2.34</v>
      </c>
      <c r="L85">
        <v>4453</v>
      </c>
      <c r="M85" s="18">
        <v>35</v>
      </c>
      <c r="N85">
        <v>0</v>
      </c>
      <c r="O85">
        <v>1.9195596064814819</v>
      </c>
      <c r="P85" s="15">
        <v>46</v>
      </c>
      <c r="Q85">
        <v>0.3</v>
      </c>
      <c r="U85">
        <v>93</v>
      </c>
      <c r="V85">
        <v>0</v>
      </c>
    </row>
    <row r="86" spans="1:22" x14ac:dyDescent="0.3">
      <c r="A86" s="3" t="s">
        <v>130</v>
      </c>
      <c r="B86" s="3">
        <v>2026</v>
      </c>
      <c r="C86" s="3" t="s">
        <v>76</v>
      </c>
      <c r="D86" s="3" t="s">
        <v>77</v>
      </c>
      <c r="E86" s="4">
        <v>46105</v>
      </c>
      <c r="F86" s="4">
        <v>46135</v>
      </c>
      <c r="G86" s="9">
        <v>56</v>
      </c>
      <c r="H86" s="3"/>
      <c r="I86" s="3"/>
      <c r="J86" s="14"/>
      <c r="K86" s="3">
        <v>2.19</v>
      </c>
      <c r="L86" s="3">
        <v>6034</v>
      </c>
      <c r="M86" s="17">
        <v>25.2</v>
      </c>
      <c r="N86" s="3">
        <v>0</v>
      </c>
      <c r="O86" s="3">
        <v>1.8505783333333321</v>
      </c>
      <c r="P86" s="14">
        <v>35</v>
      </c>
      <c r="Q86" s="3">
        <v>0.5</v>
      </c>
      <c r="R86" s="17"/>
      <c r="S86" s="3"/>
      <c r="T86" s="14"/>
      <c r="U86" s="3">
        <v>63</v>
      </c>
      <c r="V86" s="3">
        <v>1</v>
      </c>
    </row>
    <row r="87" spans="1:22" x14ac:dyDescent="0.3">
      <c r="A87" t="s">
        <v>130</v>
      </c>
      <c r="B87">
        <v>2026</v>
      </c>
      <c r="C87" t="s">
        <v>78</v>
      </c>
      <c r="D87" t="s">
        <v>79</v>
      </c>
      <c r="E87" s="5">
        <v>46105</v>
      </c>
      <c r="F87" s="5">
        <v>46135</v>
      </c>
      <c r="G87" s="10">
        <v>81</v>
      </c>
      <c r="K87">
        <v>2.44</v>
      </c>
      <c r="L87">
        <v>4724</v>
      </c>
      <c r="M87" s="18">
        <v>19.8</v>
      </c>
      <c r="N87">
        <v>0</v>
      </c>
      <c r="O87">
        <v>0.8784485416666673</v>
      </c>
      <c r="P87" s="15">
        <v>48</v>
      </c>
      <c r="Q87">
        <v>0.9</v>
      </c>
      <c r="U87">
        <v>75.5</v>
      </c>
      <c r="V87">
        <v>1</v>
      </c>
    </row>
    <row r="88" spans="1:22" x14ac:dyDescent="0.3">
      <c r="A88" s="3" t="s">
        <v>130</v>
      </c>
      <c r="B88" s="3">
        <v>2026</v>
      </c>
      <c r="C88" s="3" t="s">
        <v>80</v>
      </c>
      <c r="D88" s="3" t="s">
        <v>81</v>
      </c>
      <c r="E88" s="4">
        <v>46105</v>
      </c>
      <c r="F88" s="4">
        <v>46135</v>
      </c>
      <c r="G88" s="9">
        <v>70</v>
      </c>
      <c r="H88" s="3"/>
      <c r="I88" s="3"/>
      <c r="J88" s="14"/>
      <c r="K88" s="3">
        <v>2.59</v>
      </c>
      <c r="L88" s="3">
        <v>4913</v>
      </c>
      <c r="M88" s="17">
        <v>16.100000000000001</v>
      </c>
      <c r="N88" s="3">
        <v>0</v>
      </c>
      <c r="O88" s="3">
        <v>0.69753249999999989</v>
      </c>
      <c r="P88" s="14">
        <v>42</v>
      </c>
      <c r="Q88" s="3">
        <v>0.5</v>
      </c>
      <c r="R88" s="17"/>
      <c r="S88" s="3"/>
      <c r="T88" s="14"/>
      <c r="U88" s="3">
        <v>85</v>
      </c>
      <c r="V88" s="3">
        <v>0</v>
      </c>
    </row>
    <row r="89" spans="1:22" x14ac:dyDescent="0.3">
      <c r="A89" t="s">
        <v>130</v>
      </c>
      <c r="B89">
        <v>2026</v>
      </c>
      <c r="C89" t="s">
        <v>84</v>
      </c>
      <c r="D89" t="s">
        <v>83</v>
      </c>
      <c r="E89" s="5">
        <v>46105</v>
      </c>
      <c r="F89" s="5">
        <v>46135</v>
      </c>
      <c r="G89" s="10">
        <v>83</v>
      </c>
      <c r="K89">
        <v>2.4300000000000002</v>
      </c>
      <c r="L89">
        <v>6564</v>
      </c>
      <c r="M89" s="18">
        <v>19.2</v>
      </c>
      <c r="N89">
        <v>0</v>
      </c>
      <c r="O89">
        <v>1.2469577777777778</v>
      </c>
      <c r="P89" s="15">
        <v>30</v>
      </c>
      <c r="Q89">
        <v>0.8</v>
      </c>
      <c r="U89">
        <v>76.5</v>
      </c>
      <c r="V89">
        <v>1</v>
      </c>
    </row>
    <row r="90" spans="1:22" x14ac:dyDescent="0.3">
      <c r="A90" s="3" t="s">
        <v>130</v>
      </c>
      <c r="B90" s="3">
        <v>2026</v>
      </c>
      <c r="C90" s="3" t="s">
        <v>85</v>
      </c>
      <c r="D90" s="3" t="s">
        <v>86</v>
      </c>
      <c r="E90" s="4">
        <v>46105</v>
      </c>
      <c r="F90" s="4">
        <v>46135</v>
      </c>
      <c r="G90" s="9">
        <v>81</v>
      </c>
      <c r="H90" s="3"/>
      <c r="I90" s="3"/>
      <c r="J90" s="14"/>
      <c r="K90" s="3">
        <v>2.5</v>
      </c>
      <c r="L90" s="3">
        <v>4779</v>
      </c>
      <c r="M90" s="17">
        <v>23.1</v>
      </c>
      <c r="N90" s="3">
        <v>0</v>
      </c>
      <c r="O90" s="3">
        <v>1.0674659722222233</v>
      </c>
      <c r="P90" s="14">
        <v>41</v>
      </c>
      <c r="Q90" s="3">
        <v>0.9</v>
      </c>
      <c r="R90" s="17"/>
      <c r="S90" s="3"/>
      <c r="T90" s="14"/>
      <c r="U90" s="3">
        <v>90.5</v>
      </c>
      <c r="V90" s="3">
        <v>0</v>
      </c>
    </row>
    <row r="91" spans="1:22" x14ac:dyDescent="0.3">
      <c r="A91" t="s">
        <v>130</v>
      </c>
      <c r="B91">
        <v>2026</v>
      </c>
      <c r="C91" t="s">
        <v>87</v>
      </c>
      <c r="D91" t="s">
        <v>88</v>
      </c>
      <c r="E91" s="5">
        <v>46105</v>
      </c>
      <c r="F91" s="5">
        <v>46135</v>
      </c>
      <c r="G91" s="10">
        <v>77</v>
      </c>
      <c r="K91">
        <v>2.66</v>
      </c>
      <c r="L91">
        <v>4921</v>
      </c>
      <c r="M91" s="18">
        <v>15.7</v>
      </c>
      <c r="N91">
        <v>0</v>
      </c>
      <c r="O91">
        <v>0.68521232638888852</v>
      </c>
      <c r="P91" s="15">
        <v>41</v>
      </c>
      <c r="Q91">
        <v>0.5</v>
      </c>
      <c r="U91">
        <v>88.5</v>
      </c>
      <c r="V91">
        <v>0</v>
      </c>
    </row>
    <row r="92" spans="1:22" x14ac:dyDescent="0.3">
      <c r="A92" s="3" t="s">
        <v>130</v>
      </c>
      <c r="B92" s="3">
        <v>2026</v>
      </c>
      <c r="C92" s="3" t="s">
        <v>69</v>
      </c>
      <c r="D92" s="3" t="s">
        <v>89</v>
      </c>
      <c r="E92" s="4">
        <v>46105</v>
      </c>
      <c r="F92" s="4">
        <v>46135</v>
      </c>
      <c r="G92" s="9">
        <v>74</v>
      </c>
      <c r="H92" s="3"/>
      <c r="I92" s="3"/>
      <c r="J92" s="14"/>
      <c r="K92" s="3">
        <v>2.58</v>
      </c>
      <c r="L92" s="3">
        <v>4762</v>
      </c>
      <c r="M92" s="17">
        <v>20</v>
      </c>
      <c r="N92" s="3">
        <v>0</v>
      </c>
      <c r="O92" s="3">
        <v>0.88595601851851802</v>
      </c>
      <c r="P92" s="14">
        <v>39</v>
      </c>
      <c r="Q92" s="3">
        <v>0.5</v>
      </c>
      <c r="R92" s="17"/>
      <c r="S92" s="3"/>
      <c r="T92" s="14"/>
      <c r="U92" s="3">
        <v>87</v>
      </c>
      <c r="V92" s="3">
        <v>0</v>
      </c>
    </row>
    <row r="93" spans="1:22" x14ac:dyDescent="0.3">
      <c r="A93" t="s">
        <v>130</v>
      </c>
      <c r="B93">
        <v>2026</v>
      </c>
      <c r="C93" t="s">
        <v>90</v>
      </c>
      <c r="D93" t="s">
        <v>91</v>
      </c>
      <c r="E93" s="5">
        <v>46105</v>
      </c>
      <c r="F93" s="5">
        <v>46135</v>
      </c>
      <c r="G93" s="10">
        <v>81</v>
      </c>
      <c r="K93">
        <v>2.46</v>
      </c>
      <c r="L93">
        <v>5037</v>
      </c>
      <c r="M93" s="18">
        <v>16.399999999999999</v>
      </c>
      <c r="N93">
        <v>0</v>
      </c>
      <c r="O93">
        <v>0.75493907407407446</v>
      </c>
      <c r="P93" s="15">
        <v>46</v>
      </c>
      <c r="Q93">
        <v>1.1000000000000001</v>
      </c>
      <c r="U93">
        <v>75.5</v>
      </c>
      <c r="V93">
        <v>1</v>
      </c>
    </row>
    <row r="94" spans="1:22" x14ac:dyDescent="0.3">
      <c r="A94" s="3" t="s">
        <v>130</v>
      </c>
      <c r="B94" s="3">
        <v>2026</v>
      </c>
      <c r="C94" s="3" t="s">
        <v>92</v>
      </c>
      <c r="D94" s="3" t="s">
        <v>93</v>
      </c>
      <c r="E94" s="4">
        <v>46105</v>
      </c>
      <c r="F94" s="4">
        <v>46120</v>
      </c>
      <c r="G94" s="9">
        <v>83</v>
      </c>
      <c r="H94" s="3"/>
      <c r="I94" s="3"/>
      <c r="J94" s="14"/>
      <c r="K94" s="3">
        <v>2.5</v>
      </c>
      <c r="L94" s="3">
        <v>3191</v>
      </c>
      <c r="M94" s="17">
        <v>17.899999999999999</v>
      </c>
      <c r="N94" s="3">
        <v>0</v>
      </c>
      <c r="O94" s="3">
        <v>0.59397959490740748</v>
      </c>
      <c r="P94" s="14">
        <v>19</v>
      </c>
      <c r="Q94" s="3">
        <v>0.2</v>
      </c>
      <c r="R94" s="17"/>
      <c r="S94" s="3"/>
      <c r="T94" s="14"/>
      <c r="U94" s="3">
        <v>91.5</v>
      </c>
      <c r="V94" s="3">
        <v>0</v>
      </c>
    </row>
    <row r="95" spans="1:22" x14ac:dyDescent="0.3">
      <c r="A95" t="s">
        <v>130</v>
      </c>
      <c r="B95">
        <v>2026</v>
      </c>
      <c r="C95" t="s">
        <v>43</v>
      </c>
      <c r="D95" t="s">
        <v>93</v>
      </c>
      <c r="E95" s="5">
        <v>46121</v>
      </c>
      <c r="F95" s="5">
        <v>46135</v>
      </c>
      <c r="G95" s="10">
        <v>83</v>
      </c>
      <c r="K95">
        <v>2.2200000000000002</v>
      </c>
      <c r="L95">
        <v>2728</v>
      </c>
      <c r="M95" s="18">
        <v>33.200000000000003</v>
      </c>
      <c r="N95">
        <v>0</v>
      </c>
      <c r="O95">
        <v>1.1197737500000002</v>
      </c>
      <c r="P95" s="15">
        <v>26</v>
      </c>
      <c r="Q95">
        <v>0.4</v>
      </c>
      <c r="U95">
        <v>91.5</v>
      </c>
      <c r="V95">
        <v>0</v>
      </c>
    </row>
    <row r="96" spans="1:22" x14ac:dyDescent="0.3">
      <c r="A96" s="3" t="s">
        <v>130</v>
      </c>
      <c r="B96" s="3">
        <v>2026</v>
      </c>
      <c r="C96" s="3" t="s">
        <v>64</v>
      </c>
      <c r="D96" s="3" t="s">
        <v>94</v>
      </c>
      <c r="E96" s="4">
        <v>46125</v>
      </c>
      <c r="F96" s="4">
        <v>46135</v>
      </c>
      <c r="G96" s="9">
        <v>76</v>
      </c>
      <c r="H96" s="3"/>
      <c r="I96" s="3"/>
      <c r="J96" s="14"/>
      <c r="K96" s="3">
        <v>2.35</v>
      </c>
      <c r="L96" s="3">
        <v>2209</v>
      </c>
      <c r="M96" s="17">
        <v>17.649999999999999</v>
      </c>
      <c r="N96" s="3">
        <v>0</v>
      </c>
      <c r="O96" s="3">
        <v>0.35529498842592544</v>
      </c>
      <c r="P96" s="14">
        <v>14</v>
      </c>
      <c r="Q96" s="3">
        <v>0.5</v>
      </c>
      <c r="R96" s="17"/>
      <c r="S96" s="3"/>
      <c r="T96" s="14"/>
      <c r="U96" s="3">
        <v>88</v>
      </c>
      <c r="V96" s="3">
        <v>0</v>
      </c>
    </row>
    <row r="97" spans="1:22" x14ac:dyDescent="0.3">
      <c r="A97" t="s">
        <v>130</v>
      </c>
      <c r="B97">
        <v>2026</v>
      </c>
      <c r="C97" t="s">
        <v>60</v>
      </c>
      <c r="D97" t="s">
        <v>94</v>
      </c>
      <c r="E97" s="5">
        <v>46108</v>
      </c>
      <c r="F97" s="5">
        <v>46111</v>
      </c>
      <c r="G97" s="10">
        <v>78</v>
      </c>
      <c r="K97">
        <v>2.64</v>
      </c>
      <c r="L97">
        <v>1196</v>
      </c>
      <c r="M97" s="18">
        <v>40.299999999999997</v>
      </c>
      <c r="N97">
        <v>0</v>
      </c>
      <c r="O97">
        <v>0.50716430555555458</v>
      </c>
      <c r="P97" s="15">
        <v>3</v>
      </c>
      <c r="Q97">
        <v>0.3</v>
      </c>
      <c r="U97">
        <v>74</v>
      </c>
      <c r="V97">
        <v>1</v>
      </c>
    </row>
    <row r="98" spans="1:22" x14ac:dyDescent="0.3">
      <c r="A98" s="3" t="s">
        <v>130</v>
      </c>
      <c r="B98" s="3">
        <v>2026</v>
      </c>
      <c r="C98" s="3" t="s">
        <v>82</v>
      </c>
      <c r="D98" s="3" t="s">
        <v>95</v>
      </c>
      <c r="E98" s="4">
        <v>46105</v>
      </c>
      <c r="F98" s="4">
        <v>46135</v>
      </c>
      <c r="G98" s="9">
        <v>81</v>
      </c>
      <c r="H98" s="3"/>
      <c r="I98" s="3"/>
      <c r="J98" s="14"/>
      <c r="K98" s="3">
        <v>2.59</v>
      </c>
      <c r="L98" s="3">
        <v>6355</v>
      </c>
      <c r="M98" s="17">
        <v>24.3</v>
      </c>
      <c r="N98" s="3">
        <v>0</v>
      </c>
      <c r="O98" s="3">
        <v>1.5725924999999989</v>
      </c>
      <c r="P98" s="14">
        <v>44</v>
      </c>
      <c r="Q98" s="3">
        <v>0.2</v>
      </c>
      <c r="R98" s="17"/>
      <c r="S98" s="3"/>
      <c r="T98" s="14"/>
      <c r="U98" s="3">
        <v>90.5</v>
      </c>
      <c r="V98" s="3">
        <v>0</v>
      </c>
    </row>
    <row r="99" spans="1:22" x14ac:dyDescent="0.3">
      <c r="A99" t="s">
        <v>130</v>
      </c>
      <c r="B99">
        <v>2026</v>
      </c>
      <c r="C99" t="s">
        <v>98</v>
      </c>
      <c r="D99" t="s">
        <v>97</v>
      </c>
      <c r="E99" s="5">
        <v>46105</v>
      </c>
      <c r="F99" s="5">
        <v>46135</v>
      </c>
      <c r="G99" s="10">
        <v>71</v>
      </c>
      <c r="K99">
        <v>3.29</v>
      </c>
      <c r="L99">
        <v>10647</v>
      </c>
      <c r="M99" s="18">
        <v>25.4</v>
      </c>
      <c r="N99">
        <v>0</v>
      </c>
      <c r="O99">
        <v>2.1677106712962964</v>
      </c>
      <c r="P99" s="15">
        <v>45</v>
      </c>
      <c r="Q99">
        <v>0.1</v>
      </c>
      <c r="U99">
        <v>70.5</v>
      </c>
      <c r="V99">
        <v>1</v>
      </c>
    </row>
    <row r="100" spans="1:22" x14ac:dyDescent="0.3">
      <c r="A100" s="3" t="s">
        <v>130</v>
      </c>
      <c r="B100" s="3">
        <v>2026</v>
      </c>
      <c r="C100" s="3" t="s">
        <v>134</v>
      </c>
      <c r="D100" s="3" t="s">
        <v>100</v>
      </c>
      <c r="E100" s="4">
        <v>46105</v>
      </c>
      <c r="F100" s="4">
        <v>46133</v>
      </c>
      <c r="G100" s="9">
        <v>67</v>
      </c>
      <c r="H100" s="3"/>
      <c r="I100" s="3"/>
      <c r="J100" s="14"/>
      <c r="K100" s="3">
        <v>2.48</v>
      </c>
      <c r="L100" s="3">
        <v>5169</v>
      </c>
      <c r="M100" s="17">
        <v>19.600000000000001</v>
      </c>
      <c r="N100" s="3">
        <v>0</v>
      </c>
      <c r="O100" s="3">
        <v>0.981095694444445</v>
      </c>
      <c r="P100" s="14">
        <v>38</v>
      </c>
      <c r="Q100" s="3">
        <v>3.3</v>
      </c>
      <c r="R100" s="17"/>
      <c r="S100" s="3"/>
      <c r="T100" s="14"/>
      <c r="U100" s="3">
        <v>38.5</v>
      </c>
      <c r="V100" s="3">
        <v>3</v>
      </c>
    </row>
    <row r="101" spans="1:22" x14ac:dyDescent="0.3">
      <c r="A101" t="s">
        <v>130</v>
      </c>
      <c r="B101">
        <v>2026</v>
      </c>
      <c r="C101" t="s">
        <v>101</v>
      </c>
      <c r="D101" t="s">
        <v>102</v>
      </c>
      <c r="E101" s="5">
        <v>46105</v>
      </c>
      <c r="F101" s="5">
        <v>46135</v>
      </c>
      <c r="G101" s="10">
        <v>83</v>
      </c>
      <c r="K101">
        <v>3.05</v>
      </c>
      <c r="L101">
        <v>8676</v>
      </c>
      <c r="M101" s="18">
        <v>23.5</v>
      </c>
      <c r="N101">
        <v>0</v>
      </c>
      <c r="O101">
        <v>1.8450791087962957</v>
      </c>
      <c r="P101" s="15">
        <v>40</v>
      </c>
      <c r="Q101">
        <v>0</v>
      </c>
      <c r="U101">
        <v>76.5</v>
      </c>
      <c r="V101">
        <v>1</v>
      </c>
    </row>
    <row r="102" spans="1:22" x14ac:dyDescent="0.3">
      <c r="A102" s="3" t="s">
        <v>130</v>
      </c>
      <c r="B102" s="3">
        <v>2026</v>
      </c>
      <c r="C102" s="3" t="s">
        <v>103</v>
      </c>
      <c r="D102" s="3" t="s">
        <v>104</v>
      </c>
      <c r="E102" s="4">
        <v>46105</v>
      </c>
      <c r="F102" s="4">
        <v>46135</v>
      </c>
      <c r="G102" s="9"/>
      <c r="H102" s="3"/>
      <c r="I102" s="3"/>
      <c r="J102" s="14"/>
      <c r="K102" s="3"/>
      <c r="L102" s="3"/>
      <c r="M102" s="17"/>
      <c r="N102" s="3"/>
      <c r="O102" s="3"/>
      <c r="P102" s="14">
        <v>52</v>
      </c>
      <c r="Q102" s="3"/>
      <c r="R102" s="17"/>
      <c r="S102" s="3"/>
      <c r="T102" s="14"/>
      <c r="U102" s="3">
        <v>50</v>
      </c>
      <c r="V102" s="3"/>
    </row>
    <row r="103" spans="1:22" x14ac:dyDescent="0.3">
      <c r="A103" t="s">
        <v>130</v>
      </c>
      <c r="B103">
        <v>2026</v>
      </c>
      <c r="C103" t="s">
        <v>96</v>
      </c>
      <c r="D103" t="s">
        <v>105</v>
      </c>
      <c r="E103" s="5">
        <v>46105</v>
      </c>
      <c r="F103" s="5">
        <v>46135</v>
      </c>
      <c r="G103" s="10">
        <v>77</v>
      </c>
      <c r="K103">
        <v>2.4700000000000002</v>
      </c>
      <c r="L103">
        <v>5169</v>
      </c>
      <c r="M103" s="18">
        <v>23</v>
      </c>
      <c r="N103">
        <v>0</v>
      </c>
      <c r="O103">
        <v>1.1868559027777787</v>
      </c>
      <c r="P103" s="15">
        <v>45</v>
      </c>
      <c r="Q103">
        <v>0.2</v>
      </c>
      <c r="U103">
        <v>88.5</v>
      </c>
      <c r="V103">
        <v>0</v>
      </c>
    </row>
    <row r="104" spans="1:22" x14ac:dyDescent="0.3">
      <c r="A104" s="3" t="s">
        <v>130</v>
      </c>
      <c r="B104" s="3">
        <v>2026</v>
      </c>
      <c r="C104" s="3" t="s">
        <v>106</v>
      </c>
      <c r="D104" s="3" t="s">
        <v>107</v>
      </c>
      <c r="E104" s="4">
        <v>46105</v>
      </c>
      <c r="F104" s="4">
        <v>46135</v>
      </c>
      <c r="G104" s="9">
        <v>70</v>
      </c>
      <c r="H104" s="3"/>
      <c r="I104" s="3"/>
      <c r="J104" s="14"/>
      <c r="K104" s="3">
        <v>3.1</v>
      </c>
      <c r="L104" s="3">
        <v>6233</v>
      </c>
      <c r="M104" s="17">
        <v>22.8</v>
      </c>
      <c r="N104" s="3">
        <v>0</v>
      </c>
      <c r="O104" s="3">
        <v>1.3811786111111122</v>
      </c>
      <c r="P104" s="14">
        <v>39</v>
      </c>
      <c r="Q104" s="3">
        <v>0.1</v>
      </c>
      <c r="R104" s="17"/>
      <c r="S104" s="3"/>
      <c r="T104" s="14"/>
      <c r="U104" s="3">
        <v>70</v>
      </c>
      <c r="V104" s="3">
        <v>1</v>
      </c>
    </row>
    <row r="105" spans="1:22" x14ac:dyDescent="0.3">
      <c r="A105" t="s">
        <v>130</v>
      </c>
      <c r="B105">
        <v>2026</v>
      </c>
      <c r="C105" t="s">
        <v>108</v>
      </c>
      <c r="D105" t="s">
        <v>109</v>
      </c>
      <c r="E105" s="5">
        <v>46105</v>
      </c>
      <c r="F105" s="5">
        <v>46135</v>
      </c>
      <c r="G105" s="10">
        <v>75</v>
      </c>
      <c r="K105">
        <v>2.3250000000000002</v>
      </c>
      <c r="L105">
        <v>5725</v>
      </c>
      <c r="M105" s="18">
        <v>26.15</v>
      </c>
      <c r="N105">
        <v>0</v>
      </c>
      <c r="O105">
        <v>1.7549788657407399</v>
      </c>
      <c r="P105" s="15">
        <v>40</v>
      </c>
      <c r="Q105">
        <v>0.25</v>
      </c>
      <c r="U105">
        <v>72.5</v>
      </c>
      <c r="V105">
        <v>1</v>
      </c>
    </row>
    <row r="106" spans="1:22" x14ac:dyDescent="0.3">
      <c r="A106" s="3" t="s">
        <v>130</v>
      </c>
      <c r="B106" s="3">
        <v>2026</v>
      </c>
      <c r="C106" s="3" t="s">
        <v>135</v>
      </c>
      <c r="D106" s="3" t="s">
        <v>111</v>
      </c>
      <c r="E106" s="4">
        <v>46129</v>
      </c>
      <c r="F106" s="4">
        <v>46135</v>
      </c>
      <c r="G106" s="9"/>
      <c r="H106" s="3"/>
      <c r="I106" s="3"/>
      <c r="J106" s="14"/>
      <c r="K106" s="3"/>
      <c r="L106" s="3"/>
      <c r="M106" s="17"/>
      <c r="N106" s="3"/>
      <c r="O106" s="3"/>
      <c r="P106" s="14"/>
      <c r="Q106" s="3"/>
      <c r="R106" s="17"/>
      <c r="S106" s="3"/>
      <c r="T106" s="14"/>
      <c r="U106" s="3"/>
      <c r="V106" s="3"/>
    </row>
    <row r="107" spans="1:22" x14ac:dyDescent="0.3">
      <c r="A107" t="s">
        <v>130</v>
      </c>
      <c r="B107">
        <v>2026</v>
      </c>
      <c r="C107" t="s">
        <v>113</v>
      </c>
      <c r="D107" t="s">
        <v>114</v>
      </c>
      <c r="E107" s="5">
        <v>46105</v>
      </c>
      <c r="F107" s="5">
        <v>46135</v>
      </c>
      <c r="G107" s="10">
        <v>75</v>
      </c>
      <c r="K107">
        <v>2.71</v>
      </c>
      <c r="L107">
        <v>4621</v>
      </c>
      <c r="M107" s="18">
        <v>20</v>
      </c>
      <c r="N107">
        <v>0</v>
      </c>
      <c r="O107">
        <v>0.79878472222222197</v>
      </c>
      <c r="P107" s="15">
        <v>51</v>
      </c>
      <c r="Q107">
        <v>0.1</v>
      </c>
      <c r="U107">
        <v>87.5</v>
      </c>
      <c r="V107">
        <v>0</v>
      </c>
    </row>
    <row r="108" spans="1:22" x14ac:dyDescent="0.3">
      <c r="A108" s="3" t="s">
        <v>130</v>
      </c>
      <c r="B108" s="3">
        <v>2026</v>
      </c>
      <c r="C108" s="3" t="s">
        <v>135</v>
      </c>
      <c r="D108" s="3" t="s">
        <v>111</v>
      </c>
      <c r="E108" s="4">
        <v>46098</v>
      </c>
      <c r="F108" s="4">
        <v>46135</v>
      </c>
      <c r="G108" s="9"/>
      <c r="H108" s="3"/>
      <c r="I108" s="3"/>
      <c r="J108" s="14"/>
      <c r="K108" s="3">
        <v>2.12</v>
      </c>
      <c r="L108" s="3">
        <v>1590</v>
      </c>
      <c r="M108" s="17">
        <v>27.8</v>
      </c>
      <c r="N108" s="3">
        <v>0</v>
      </c>
      <c r="O108" s="3">
        <v>0.41870210648148287</v>
      </c>
      <c r="P108" s="14">
        <v>56</v>
      </c>
      <c r="Q108" s="3">
        <v>0.3</v>
      </c>
      <c r="R108" s="17"/>
      <c r="S108" s="3"/>
      <c r="T108" s="14"/>
      <c r="U108" s="3">
        <v>50</v>
      </c>
      <c r="V108" s="3">
        <v>0</v>
      </c>
    </row>
    <row r="109" spans="1:22" x14ac:dyDescent="0.3">
      <c r="A109" t="s">
        <v>130</v>
      </c>
      <c r="B109">
        <v>2026</v>
      </c>
      <c r="C109" t="s">
        <v>115</v>
      </c>
      <c r="D109" t="s">
        <v>116</v>
      </c>
      <c r="E109" s="5">
        <v>46105</v>
      </c>
      <c r="F109" s="5">
        <v>46135</v>
      </c>
      <c r="G109" s="10">
        <v>77</v>
      </c>
      <c r="K109">
        <v>2.29</v>
      </c>
      <c r="L109">
        <v>5252</v>
      </c>
      <c r="M109" s="18">
        <v>19.600000000000001</v>
      </c>
      <c r="N109">
        <v>0</v>
      </c>
      <c r="O109">
        <v>1.1324988888888898</v>
      </c>
      <c r="P109" s="15">
        <v>53</v>
      </c>
      <c r="Q109">
        <v>0.3</v>
      </c>
      <c r="U109">
        <v>88.5</v>
      </c>
      <c r="V109">
        <v>0</v>
      </c>
    </row>
    <row r="110" spans="1:22" x14ac:dyDescent="0.3">
      <c r="A110" s="3" t="s">
        <v>130</v>
      </c>
      <c r="B110" s="3">
        <v>2026</v>
      </c>
      <c r="C110" s="3" t="s">
        <v>117</v>
      </c>
      <c r="D110" s="3" t="s">
        <v>119</v>
      </c>
      <c r="E110" s="4">
        <v>46105</v>
      </c>
      <c r="F110" s="4">
        <v>46122</v>
      </c>
      <c r="G110" s="9">
        <v>59</v>
      </c>
      <c r="H110" s="3"/>
      <c r="I110" s="3"/>
      <c r="J110" s="14"/>
      <c r="K110" s="3">
        <v>2.5049999999999999</v>
      </c>
      <c r="L110" s="3">
        <v>3426</v>
      </c>
      <c r="M110" s="17">
        <v>22.15</v>
      </c>
      <c r="N110" s="3">
        <v>0</v>
      </c>
      <c r="O110" s="3">
        <v>0.78008657407407467</v>
      </c>
      <c r="P110" s="14">
        <v>25</v>
      </c>
      <c r="Q110" s="3">
        <v>0.15000000000000002</v>
      </c>
      <c r="R110" s="17"/>
      <c r="S110" s="3"/>
      <c r="T110" s="14"/>
      <c r="U110" s="3">
        <v>79.5</v>
      </c>
      <c r="V110" s="3">
        <v>0</v>
      </c>
    </row>
    <row r="111" spans="1:22" x14ac:dyDescent="0.3">
      <c r="A111" t="s">
        <v>130</v>
      </c>
      <c r="B111">
        <v>2026</v>
      </c>
      <c r="C111" t="s">
        <v>118</v>
      </c>
      <c r="D111" t="s">
        <v>119</v>
      </c>
      <c r="E111" s="5">
        <v>46130</v>
      </c>
      <c r="F111" s="5">
        <v>46135</v>
      </c>
      <c r="G111" s="10">
        <v>39</v>
      </c>
      <c r="K111">
        <v>2.21</v>
      </c>
      <c r="L111">
        <v>1351</v>
      </c>
      <c r="M111" s="18">
        <v>30.6</v>
      </c>
      <c r="N111">
        <v>0</v>
      </c>
      <c r="O111">
        <v>0.42863729166666581</v>
      </c>
      <c r="P111" s="15">
        <v>6</v>
      </c>
      <c r="Q111">
        <v>1</v>
      </c>
      <c r="U111">
        <v>39.5</v>
      </c>
      <c r="V111">
        <v>2</v>
      </c>
    </row>
    <row r="112" spans="1:22" x14ac:dyDescent="0.3">
      <c r="A112" s="3" t="s">
        <v>130</v>
      </c>
      <c r="B112" s="3">
        <v>2026</v>
      </c>
      <c r="C112" s="3" t="s">
        <v>118</v>
      </c>
      <c r="D112" s="3" t="s">
        <v>120</v>
      </c>
      <c r="E112" s="4">
        <v>46105</v>
      </c>
      <c r="F112" s="4">
        <v>46129</v>
      </c>
      <c r="G112" s="9">
        <v>51</v>
      </c>
      <c r="H112" s="3"/>
      <c r="I112" s="3"/>
      <c r="J112" s="14"/>
      <c r="K112" s="3">
        <v>2.56</v>
      </c>
      <c r="L112" s="3">
        <v>6045</v>
      </c>
      <c r="M112" s="17">
        <v>25.1</v>
      </c>
      <c r="N112" s="3">
        <v>0</v>
      </c>
      <c r="O112" s="3">
        <v>1.4561805671296286</v>
      </c>
      <c r="P112" s="14">
        <v>32</v>
      </c>
      <c r="Q112" s="3">
        <v>0.4</v>
      </c>
      <c r="R112" s="17"/>
      <c r="S112" s="3"/>
      <c r="T112" s="14"/>
      <c r="U112" s="3">
        <v>60.5</v>
      </c>
      <c r="V112" s="3">
        <v>1</v>
      </c>
    </row>
    <row r="113" spans="1:22" x14ac:dyDescent="0.3">
      <c r="A113" t="s">
        <v>130</v>
      </c>
      <c r="B113">
        <v>2026</v>
      </c>
      <c r="C113" t="s">
        <v>110</v>
      </c>
      <c r="D113" t="s">
        <v>120</v>
      </c>
      <c r="E113" s="5">
        <v>46131</v>
      </c>
      <c r="F113" s="5">
        <v>46135</v>
      </c>
      <c r="G113" s="10">
        <v>80</v>
      </c>
      <c r="K113">
        <v>2.2200000000000002</v>
      </c>
      <c r="L113">
        <v>1065</v>
      </c>
      <c r="M113" s="18">
        <v>28</v>
      </c>
      <c r="N113">
        <v>0</v>
      </c>
      <c r="O113">
        <v>0.29072361111111084</v>
      </c>
      <c r="P113" s="15">
        <v>8</v>
      </c>
      <c r="Q113">
        <v>1.1000000000000001</v>
      </c>
      <c r="U113">
        <v>75</v>
      </c>
      <c r="V113">
        <v>1</v>
      </c>
    </row>
    <row r="114" spans="1:22" x14ac:dyDescent="0.3">
      <c r="A114" s="3" t="s">
        <v>130</v>
      </c>
      <c r="B114" s="3">
        <v>2026</v>
      </c>
      <c r="C114" s="3" t="s">
        <v>121</v>
      </c>
      <c r="D114" s="3" t="s">
        <v>122</v>
      </c>
      <c r="E114" s="4">
        <v>46105</v>
      </c>
      <c r="F114" s="4">
        <v>46135</v>
      </c>
      <c r="G114" s="9">
        <v>70</v>
      </c>
      <c r="H114" s="3"/>
      <c r="I114" s="3"/>
      <c r="J114" s="14"/>
      <c r="K114" s="3">
        <v>2.3199999999999998</v>
      </c>
      <c r="L114" s="3">
        <v>6302</v>
      </c>
      <c r="M114" s="17">
        <v>27.4</v>
      </c>
      <c r="N114" s="3">
        <v>0</v>
      </c>
      <c r="O114" s="3">
        <v>1.8929150462962949</v>
      </c>
      <c r="P114" s="14">
        <v>48</v>
      </c>
      <c r="Q114" s="3">
        <v>0.4</v>
      </c>
      <c r="R114" s="17"/>
      <c r="S114" s="3"/>
      <c r="T114" s="14"/>
      <c r="U114" s="3">
        <v>85</v>
      </c>
      <c r="V114" s="3">
        <v>0</v>
      </c>
    </row>
    <row r="115" spans="1:22" x14ac:dyDescent="0.3">
      <c r="A115" t="s">
        <v>130</v>
      </c>
      <c r="B115">
        <v>2026</v>
      </c>
      <c r="C115" t="s">
        <v>74</v>
      </c>
      <c r="D115" t="s">
        <v>123</v>
      </c>
      <c r="E115" s="5">
        <v>46105</v>
      </c>
      <c r="F115" s="5">
        <v>46132</v>
      </c>
      <c r="G115" s="10">
        <v>71</v>
      </c>
      <c r="K115">
        <v>2.66</v>
      </c>
      <c r="L115">
        <v>4276</v>
      </c>
      <c r="M115" s="18">
        <v>19.100000000000001</v>
      </c>
      <c r="N115">
        <v>0</v>
      </c>
      <c r="O115">
        <v>0.90510124999999997</v>
      </c>
      <c r="P115" s="15">
        <v>44</v>
      </c>
      <c r="Q115">
        <v>1</v>
      </c>
      <c r="U115">
        <v>70.5</v>
      </c>
      <c r="V115">
        <v>1</v>
      </c>
    </row>
    <row r="116" spans="1:22" x14ac:dyDescent="0.3">
      <c r="A116" s="3" t="s">
        <v>130</v>
      </c>
      <c r="B116" s="3">
        <v>2026</v>
      </c>
      <c r="C116" s="3" t="s">
        <v>124</v>
      </c>
      <c r="D116" s="3" t="s">
        <v>125</v>
      </c>
      <c r="E116" s="4">
        <v>46105</v>
      </c>
      <c r="F116" s="4">
        <v>46135</v>
      </c>
      <c r="G116" s="9">
        <v>79</v>
      </c>
      <c r="H116" s="3"/>
      <c r="I116" s="3"/>
      <c r="J116" s="14"/>
      <c r="K116" s="3">
        <v>2.4500000000000002</v>
      </c>
      <c r="L116" s="3">
        <v>5294</v>
      </c>
      <c r="M116" s="17">
        <v>22.3</v>
      </c>
      <c r="N116" s="3">
        <v>0</v>
      </c>
      <c r="O116" s="3">
        <v>1.27805326388889</v>
      </c>
      <c r="P116" s="14">
        <v>55</v>
      </c>
      <c r="Q116" s="3">
        <v>1.9</v>
      </c>
      <c r="R116" s="17"/>
      <c r="S116" s="3"/>
      <c r="T116" s="14"/>
      <c r="U116" s="3">
        <v>59.5</v>
      </c>
      <c r="V116" s="3">
        <v>2</v>
      </c>
    </row>
    <row r="117" spans="1:22" x14ac:dyDescent="0.3">
      <c r="A117" t="s">
        <v>130</v>
      </c>
      <c r="B117">
        <v>2026</v>
      </c>
      <c r="C117" t="s">
        <v>126</v>
      </c>
      <c r="D117" t="s">
        <v>127</v>
      </c>
      <c r="E117" s="5">
        <v>46105</v>
      </c>
      <c r="F117" s="5">
        <v>46132</v>
      </c>
      <c r="G117" s="10">
        <v>59</v>
      </c>
      <c r="K117">
        <v>2.65</v>
      </c>
      <c r="L117">
        <v>5787</v>
      </c>
      <c r="M117" s="18">
        <v>24.8</v>
      </c>
      <c r="N117">
        <v>0</v>
      </c>
      <c r="O117">
        <v>1.4967144444444449</v>
      </c>
      <c r="P117" s="15">
        <v>35</v>
      </c>
      <c r="Q117">
        <v>2.1</v>
      </c>
      <c r="U117">
        <v>34.5</v>
      </c>
      <c r="V117">
        <v>3</v>
      </c>
    </row>
    <row r="118" spans="1:22" x14ac:dyDescent="0.3">
      <c r="A118" s="3" t="s">
        <v>130</v>
      </c>
      <c r="B118" s="3">
        <v>2026</v>
      </c>
      <c r="C118" s="3" t="s">
        <v>128</v>
      </c>
      <c r="D118" s="3" t="s">
        <v>129</v>
      </c>
      <c r="E118" s="4">
        <v>46105</v>
      </c>
      <c r="F118" s="4">
        <v>46135</v>
      </c>
      <c r="G118" s="9"/>
      <c r="H118" s="3"/>
      <c r="I118" s="3"/>
      <c r="J118" s="14"/>
      <c r="K118" s="3"/>
      <c r="L118" s="3"/>
      <c r="M118" s="17"/>
      <c r="N118" s="3"/>
      <c r="O118" s="3"/>
      <c r="P118" s="14">
        <v>33</v>
      </c>
      <c r="Q118" s="3"/>
      <c r="R118" s="17"/>
      <c r="S118" s="3"/>
      <c r="T118" s="14"/>
      <c r="U118" s="3">
        <v>50</v>
      </c>
      <c r="V118" s="3"/>
    </row>
    <row r="119" spans="1:22" x14ac:dyDescent="0.3">
      <c r="A119" t="s">
        <v>136</v>
      </c>
      <c r="B119">
        <v>2026</v>
      </c>
      <c r="C119" t="s">
        <v>137</v>
      </c>
      <c r="D119" t="s">
        <v>37</v>
      </c>
      <c r="E119" s="5">
        <v>46077</v>
      </c>
      <c r="F119" s="5">
        <v>46101</v>
      </c>
    </row>
    <row r="120" spans="1:22" x14ac:dyDescent="0.3">
      <c r="A120" s="3" t="s">
        <v>136</v>
      </c>
      <c r="B120" s="3">
        <v>2026</v>
      </c>
      <c r="C120" s="3" t="s">
        <v>138</v>
      </c>
      <c r="D120" s="3" t="s">
        <v>39</v>
      </c>
      <c r="E120" s="4">
        <v>46077</v>
      </c>
      <c r="F120" s="4">
        <v>46084</v>
      </c>
      <c r="G120" s="9"/>
      <c r="H120" s="3"/>
      <c r="I120" s="3"/>
      <c r="J120" s="14"/>
      <c r="K120" s="3"/>
      <c r="L120" s="3"/>
      <c r="M120" s="17"/>
      <c r="N120" s="3"/>
      <c r="O120" s="3"/>
      <c r="P120" s="14"/>
      <c r="Q120" s="3"/>
      <c r="R120" s="17"/>
      <c r="S120" s="3"/>
      <c r="T120" s="14"/>
      <c r="U120" s="3"/>
      <c r="V120" s="3"/>
    </row>
    <row r="121" spans="1:22" x14ac:dyDescent="0.3">
      <c r="A121" t="s">
        <v>136</v>
      </c>
      <c r="B121">
        <v>2026</v>
      </c>
      <c r="C121" t="s">
        <v>138</v>
      </c>
      <c r="D121" t="s">
        <v>139</v>
      </c>
      <c r="E121" s="5">
        <v>46085</v>
      </c>
      <c r="F121" s="5">
        <v>46092</v>
      </c>
    </row>
    <row r="122" spans="1:22" x14ac:dyDescent="0.3">
      <c r="A122" s="3" t="s">
        <v>136</v>
      </c>
      <c r="B122" s="3">
        <v>2026</v>
      </c>
      <c r="C122" s="3" t="s">
        <v>56</v>
      </c>
      <c r="D122" s="3" t="s">
        <v>39</v>
      </c>
      <c r="E122" s="4">
        <v>46093</v>
      </c>
      <c r="F122" s="4">
        <v>46101</v>
      </c>
      <c r="G122" s="9"/>
      <c r="H122" s="3"/>
      <c r="I122" s="3"/>
      <c r="J122" s="14"/>
      <c r="K122" s="3"/>
      <c r="L122" s="3"/>
      <c r="M122" s="17"/>
      <c r="N122" s="3"/>
      <c r="O122" s="3"/>
      <c r="P122" s="14"/>
      <c r="Q122" s="3"/>
      <c r="R122" s="17"/>
      <c r="S122" s="3"/>
      <c r="T122" s="14"/>
      <c r="U122" s="3"/>
      <c r="V122" s="3"/>
    </row>
    <row r="123" spans="1:22" x14ac:dyDescent="0.3">
      <c r="A123" t="s">
        <v>136</v>
      </c>
      <c r="B123">
        <v>2026</v>
      </c>
      <c r="C123" t="s">
        <v>36</v>
      </c>
      <c r="D123" t="s">
        <v>40</v>
      </c>
      <c r="E123" s="5">
        <v>46077</v>
      </c>
      <c r="F123" s="5">
        <v>46101</v>
      </c>
    </row>
    <row r="124" spans="1:22" x14ac:dyDescent="0.3">
      <c r="A124" s="3" t="s">
        <v>136</v>
      </c>
      <c r="B124" s="3">
        <v>2026</v>
      </c>
      <c r="C124" s="3" t="s">
        <v>41</v>
      </c>
      <c r="D124" s="3" t="s">
        <v>42</v>
      </c>
      <c r="E124" s="4">
        <v>46078</v>
      </c>
      <c r="F124" s="4">
        <v>46101</v>
      </c>
      <c r="G124" s="9"/>
      <c r="H124" s="3"/>
      <c r="I124" s="3"/>
      <c r="J124" s="14"/>
      <c r="K124" s="3"/>
      <c r="L124" s="3"/>
      <c r="M124" s="17"/>
      <c r="N124" s="3"/>
      <c r="O124" s="3"/>
      <c r="P124" s="14"/>
      <c r="Q124" s="3"/>
      <c r="R124" s="17"/>
      <c r="S124" s="3"/>
      <c r="T124" s="14"/>
      <c r="U124" s="3"/>
      <c r="V124" s="3"/>
    </row>
    <row r="125" spans="1:22" x14ac:dyDescent="0.3">
      <c r="A125" t="s">
        <v>136</v>
      </c>
      <c r="B125">
        <v>2026</v>
      </c>
      <c r="C125" t="s">
        <v>56</v>
      </c>
      <c r="D125" t="s">
        <v>44</v>
      </c>
      <c r="E125" s="5">
        <v>46077</v>
      </c>
      <c r="F125" s="5">
        <v>46092</v>
      </c>
    </row>
    <row r="126" spans="1:22" x14ac:dyDescent="0.3">
      <c r="A126" s="3" t="s">
        <v>136</v>
      </c>
      <c r="B126" s="3">
        <v>2026</v>
      </c>
      <c r="C126" s="3" t="s">
        <v>132</v>
      </c>
      <c r="D126" s="3" t="s">
        <v>46</v>
      </c>
      <c r="E126" s="4">
        <v>46077</v>
      </c>
      <c r="F126" s="4">
        <v>46101</v>
      </c>
      <c r="G126" s="9">
        <v>74</v>
      </c>
      <c r="H126" s="3"/>
      <c r="I126" s="3"/>
      <c r="J126" s="14"/>
      <c r="K126" s="3">
        <v>2.2599999999999998</v>
      </c>
      <c r="L126" s="3">
        <v>5145</v>
      </c>
      <c r="M126" s="17">
        <v>30.6</v>
      </c>
      <c r="N126" s="3">
        <v>118</v>
      </c>
      <c r="O126" s="3">
        <v>2.113772916666667</v>
      </c>
      <c r="P126" s="14">
        <v>37</v>
      </c>
      <c r="Q126" s="3">
        <v>0.6</v>
      </c>
      <c r="R126" s="17"/>
      <c r="S126" s="3"/>
      <c r="T126" s="14"/>
      <c r="U126" s="3">
        <v>72</v>
      </c>
      <c r="V126" s="3">
        <v>1</v>
      </c>
    </row>
    <row r="127" spans="1:22" x14ac:dyDescent="0.3">
      <c r="A127" t="s">
        <v>136</v>
      </c>
      <c r="B127">
        <v>2026</v>
      </c>
      <c r="C127" t="s">
        <v>48</v>
      </c>
      <c r="D127" t="s">
        <v>49</v>
      </c>
      <c r="E127" s="5">
        <v>46077</v>
      </c>
      <c r="F127" s="5">
        <v>46101</v>
      </c>
    </row>
    <row r="128" spans="1:22" x14ac:dyDescent="0.3">
      <c r="A128" s="3" t="s">
        <v>136</v>
      </c>
      <c r="B128" s="3">
        <v>2026</v>
      </c>
      <c r="C128" s="3" t="s">
        <v>38</v>
      </c>
      <c r="D128" s="3" t="s">
        <v>50</v>
      </c>
      <c r="E128" s="4">
        <v>46077</v>
      </c>
      <c r="F128" s="4">
        <v>46101</v>
      </c>
      <c r="G128" s="9"/>
      <c r="H128" s="3"/>
      <c r="I128" s="3"/>
      <c r="J128" s="14"/>
      <c r="K128" s="3"/>
      <c r="L128" s="3"/>
      <c r="M128" s="17"/>
      <c r="N128" s="3"/>
      <c r="O128" s="3"/>
      <c r="P128" s="14"/>
      <c r="Q128" s="3"/>
      <c r="R128" s="17"/>
      <c r="S128" s="3"/>
      <c r="T128" s="14"/>
      <c r="U128" s="3"/>
      <c r="V128" s="3"/>
    </row>
    <row r="129" spans="1:22" x14ac:dyDescent="0.3">
      <c r="A129" t="s">
        <v>136</v>
      </c>
      <c r="B129">
        <v>2026</v>
      </c>
      <c r="D129" t="s">
        <v>50</v>
      </c>
    </row>
    <row r="130" spans="1:22" x14ac:dyDescent="0.3">
      <c r="A130" s="3" t="s">
        <v>136</v>
      </c>
      <c r="B130" s="3">
        <v>2026</v>
      </c>
      <c r="C130" s="3" t="s">
        <v>38</v>
      </c>
      <c r="D130" s="3" t="s">
        <v>50</v>
      </c>
      <c r="E130" s="4">
        <v>46077</v>
      </c>
      <c r="F130" s="4">
        <v>46101</v>
      </c>
      <c r="G130" s="9">
        <v>62</v>
      </c>
      <c r="H130" s="3"/>
      <c r="I130" s="3"/>
      <c r="J130" s="14"/>
      <c r="K130" s="3">
        <v>2.65</v>
      </c>
      <c r="L130" s="3">
        <v>4978</v>
      </c>
      <c r="M130" s="17">
        <v>26.6</v>
      </c>
      <c r="N130" s="3">
        <v>0</v>
      </c>
      <c r="O130" s="3">
        <v>1.3349597916666658</v>
      </c>
      <c r="P130" s="14">
        <v>34</v>
      </c>
      <c r="Q130" s="3">
        <v>1.7</v>
      </c>
      <c r="R130" s="17"/>
      <c r="S130" s="3"/>
      <c r="T130" s="14"/>
      <c r="U130" s="3">
        <v>81</v>
      </c>
      <c r="V130" s="3">
        <v>0</v>
      </c>
    </row>
    <row r="131" spans="1:22" x14ac:dyDescent="0.3">
      <c r="A131" t="s">
        <v>136</v>
      </c>
      <c r="B131">
        <v>2026</v>
      </c>
      <c r="C131" t="s">
        <v>52</v>
      </c>
      <c r="D131" t="s">
        <v>53</v>
      </c>
      <c r="E131" s="5">
        <v>46077</v>
      </c>
      <c r="F131" s="5">
        <v>46101</v>
      </c>
      <c r="G131" s="10">
        <v>61</v>
      </c>
      <c r="K131">
        <v>2.4</v>
      </c>
      <c r="L131">
        <v>6182</v>
      </c>
      <c r="M131" s="18">
        <v>29.4</v>
      </c>
      <c r="N131">
        <v>0</v>
      </c>
      <c r="O131">
        <v>1.9447181249999996</v>
      </c>
      <c r="P131" s="15">
        <v>38</v>
      </c>
      <c r="Q131">
        <v>0.6</v>
      </c>
      <c r="U131">
        <v>65.5</v>
      </c>
      <c r="V131">
        <v>1</v>
      </c>
    </row>
    <row r="132" spans="1:22" x14ac:dyDescent="0.3">
      <c r="A132" s="3" t="s">
        <v>136</v>
      </c>
      <c r="B132" s="3">
        <v>2026</v>
      </c>
      <c r="C132" s="3" t="s">
        <v>54</v>
      </c>
      <c r="D132" s="3" t="s">
        <v>55</v>
      </c>
      <c r="E132" s="4">
        <v>46077</v>
      </c>
      <c r="F132" s="4">
        <v>46101</v>
      </c>
      <c r="G132" s="9">
        <v>47</v>
      </c>
      <c r="H132" s="3"/>
      <c r="I132" s="3"/>
      <c r="J132" s="14"/>
      <c r="K132" s="3">
        <v>2.2999999999999998</v>
      </c>
      <c r="L132" s="3">
        <v>3518</v>
      </c>
      <c r="M132" s="17">
        <v>26.4</v>
      </c>
      <c r="N132" s="3">
        <v>0</v>
      </c>
      <c r="O132" s="3">
        <v>0.97471305555555621</v>
      </c>
      <c r="P132" s="14">
        <v>35</v>
      </c>
      <c r="Q132" s="3">
        <v>0.9</v>
      </c>
      <c r="R132" s="17"/>
      <c r="S132" s="3"/>
      <c r="T132" s="14"/>
      <c r="U132" s="3">
        <v>73.5</v>
      </c>
      <c r="V132" s="3">
        <v>0</v>
      </c>
    </row>
    <row r="133" spans="1:22" x14ac:dyDescent="0.3">
      <c r="A133" t="s">
        <v>136</v>
      </c>
      <c r="B133">
        <v>2026</v>
      </c>
      <c r="C133" t="s">
        <v>99</v>
      </c>
      <c r="D133" t="s">
        <v>57</v>
      </c>
      <c r="E133" s="5">
        <v>46077</v>
      </c>
      <c r="F133" s="5">
        <v>46101</v>
      </c>
      <c r="G133" s="10">
        <v>72</v>
      </c>
      <c r="K133">
        <v>2.4300000000000002</v>
      </c>
      <c r="L133">
        <v>2834</v>
      </c>
      <c r="M133" s="18">
        <v>28.8</v>
      </c>
      <c r="N133">
        <v>0</v>
      </c>
      <c r="O133">
        <v>0.96731000000000067</v>
      </c>
      <c r="P133" s="15">
        <v>30</v>
      </c>
      <c r="Q133">
        <v>0.4</v>
      </c>
      <c r="U133">
        <v>86</v>
      </c>
      <c r="V133">
        <v>0</v>
      </c>
    </row>
    <row r="134" spans="1:22" x14ac:dyDescent="0.3">
      <c r="A134" s="3" t="s">
        <v>136</v>
      </c>
      <c r="B134" s="3">
        <v>2026</v>
      </c>
      <c r="C134" s="3" t="s">
        <v>58</v>
      </c>
      <c r="D134" s="3" t="s">
        <v>59</v>
      </c>
      <c r="E134" s="4">
        <v>46077</v>
      </c>
      <c r="F134" s="4">
        <v>46101</v>
      </c>
      <c r="G134" s="9">
        <v>81</v>
      </c>
      <c r="H134" s="3"/>
      <c r="I134" s="3"/>
      <c r="J134" s="14"/>
      <c r="K134" s="3">
        <v>2.5499999999999998</v>
      </c>
      <c r="L134" s="3">
        <v>3991</v>
      </c>
      <c r="M134" s="17">
        <v>28.5</v>
      </c>
      <c r="N134" s="3">
        <v>0</v>
      </c>
      <c r="O134" s="3">
        <v>1.1000175347222227</v>
      </c>
      <c r="P134" s="14">
        <v>35</v>
      </c>
      <c r="Q134" s="3">
        <v>0.1</v>
      </c>
      <c r="R134" s="17"/>
      <c r="S134" s="3"/>
      <c r="T134" s="14"/>
      <c r="U134" s="3">
        <v>90.5</v>
      </c>
      <c r="V134" s="3">
        <v>0</v>
      </c>
    </row>
    <row r="135" spans="1:22" x14ac:dyDescent="0.3">
      <c r="A135" t="s">
        <v>136</v>
      </c>
      <c r="B135">
        <v>2026</v>
      </c>
      <c r="C135" t="s">
        <v>60</v>
      </c>
      <c r="D135" t="s">
        <v>61</v>
      </c>
      <c r="E135" s="5">
        <v>46077</v>
      </c>
      <c r="F135" s="5">
        <v>46101</v>
      </c>
      <c r="G135" s="10">
        <v>80</v>
      </c>
      <c r="K135">
        <v>2.59</v>
      </c>
      <c r="L135">
        <v>4822</v>
      </c>
      <c r="M135" s="18">
        <v>30.9</v>
      </c>
      <c r="N135">
        <v>0</v>
      </c>
      <c r="O135">
        <v>1.5352006944444454</v>
      </c>
      <c r="P135" s="15">
        <v>33</v>
      </c>
      <c r="Q135">
        <v>0.4</v>
      </c>
      <c r="U135">
        <v>75</v>
      </c>
      <c r="V135">
        <v>1</v>
      </c>
    </row>
    <row r="136" spans="1:22" x14ac:dyDescent="0.3">
      <c r="A136" s="3" t="s">
        <v>136</v>
      </c>
      <c r="B136" s="3">
        <v>2026</v>
      </c>
      <c r="C136" s="3" t="s">
        <v>62</v>
      </c>
      <c r="D136" s="3" t="s">
        <v>63</v>
      </c>
      <c r="E136" s="4">
        <v>46077</v>
      </c>
      <c r="F136" s="4">
        <v>46101</v>
      </c>
      <c r="G136" s="9">
        <v>95</v>
      </c>
      <c r="H136" s="3"/>
      <c r="I136" s="3"/>
      <c r="J136" s="14"/>
      <c r="K136" s="3">
        <v>2.23</v>
      </c>
      <c r="L136" s="3">
        <v>4191</v>
      </c>
      <c r="M136" s="17">
        <v>27.1</v>
      </c>
      <c r="N136" s="3">
        <v>0</v>
      </c>
      <c r="O136" s="3">
        <v>1.2059970486111107</v>
      </c>
      <c r="P136" s="14">
        <v>34</v>
      </c>
      <c r="Q136" s="3">
        <v>0.3</v>
      </c>
      <c r="R136" s="17"/>
      <c r="S136" s="3"/>
      <c r="T136" s="14"/>
      <c r="U136" s="3">
        <v>97.5</v>
      </c>
      <c r="V136" s="3">
        <v>0</v>
      </c>
    </row>
    <row r="137" spans="1:22" x14ac:dyDescent="0.3">
      <c r="A137" t="s">
        <v>136</v>
      </c>
      <c r="B137">
        <v>2026</v>
      </c>
      <c r="C137" t="s">
        <v>43</v>
      </c>
      <c r="D137" t="s">
        <v>66</v>
      </c>
      <c r="E137" s="5">
        <v>46080</v>
      </c>
      <c r="F137" s="5">
        <v>46086</v>
      </c>
      <c r="G137" s="10">
        <v>70</v>
      </c>
      <c r="K137">
        <v>2.5499999999999998</v>
      </c>
      <c r="L137">
        <v>2379</v>
      </c>
      <c r="M137" s="18">
        <v>38.299999999999997</v>
      </c>
      <c r="N137">
        <v>0</v>
      </c>
      <c r="O137">
        <v>0.93364201388889079</v>
      </c>
      <c r="P137" s="15">
        <v>14</v>
      </c>
      <c r="Q137">
        <v>3.35</v>
      </c>
      <c r="U137">
        <v>70</v>
      </c>
      <c r="V137">
        <v>1</v>
      </c>
    </row>
    <row r="138" spans="1:22" x14ac:dyDescent="0.3">
      <c r="A138" s="3" t="s">
        <v>136</v>
      </c>
      <c r="B138" s="3">
        <v>2026</v>
      </c>
      <c r="C138" s="3" t="s">
        <v>65</v>
      </c>
      <c r="D138" s="3" t="s">
        <v>66</v>
      </c>
      <c r="E138" s="4">
        <v>46087</v>
      </c>
      <c r="F138" s="4">
        <v>46101</v>
      </c>
      <c r="G138" s="9">
        <v>81</v>
      </c>
      <c r="H138" s="3"/>
      <c r="I138" s="3"/>
      <c r="J138" s="14"/>
      <c r="K138" s="3">
        <v>2.2599999999999998</v>
      </c>
      <c r="L138" s="3">
        <v>2467</v>
      </c>
      <c r="M138" s="17">
        <v>21.7</v>
      </c>
      <c r="N138" s="3">
        <v>0</v>
      </c>
      <c r="O138" s="3">
        <v>0.61448171296296228</v>
      </c>
      <c r="P138" s="14">
        <v>23</v>
      </c>
      <c r="Q138" s="3">
        <v>0.1</v>
      </c>
      <c r="R138" s="17"/>
      <c r="S138" s="3"/>
      <c r="T138" s="14"/>
      <c r="U138" s="3">
        <v>90.5</v>
      </c>
      <c r="V138" s="3">
        <v>0</v>
      </c>
    </row>
    <row r="139" spans="1:22" x14ac:dyDescent="0.3">
      <c r="A139" t="s">
        <v>136</v>
      </c>
      <c r="B139">
        <v>2026</v>
      </c>
      <c r="C139" t="s">
        <v>67</v>
      </c>
      <c r="D139" t="s">
        <v>68</v>
      </c>
      <c r="E139" s="5">
        <v>46077</v>
      </c>
      <c r="F139" s="5">
        <v>46101</v>
      </c>
      <c r="G139" s="10">
        <v>61</v>
      </c>
      <c r="K139">
        <v>2.21</v>
      </c>
      <c r="L139">
        <v>5024</v>
      </c>
      <c r="M139" s="18">
        <v>30.9</v>
      </c>
      <c r="N139">
        <v>0</v>
      </c>
      <c r="O139">
        <v>1.7093493749999999</v>
      </c>
      <c r="P139" s="15">
        <v>39</v>
      </c>
      <c r="Q139">
        <v>0.6</v>
      </c>
      <c r="U139">
        <v>65.5</v>
      </c>
      <c r="V139">
        <v>1</v>
      </c>
    </row>
    <row r="140" spans="1:22" x14ac:dyDescent="0.3">
      <c r="A140" s="3" t="s">
        <v>136</v>
      </c>
      <c r="B140" s="3">
        <v>2026</v>
      </c>
      <c r="C140" s="3" t="s">
        <v>70</v>
      </c>
      <c r="D140" s="3" t="s">
        <v>71</v>
      </c>
      <c r="E140" s="4">
        <v>46077</v>
      </c>
      <c r="F140" s="4">
        <v>46101</v>
      </c>
      <c r="G140" s="9">
        <v>77</v>
      </c>
      <c r="H140" s="3"/>
      <c r="I140" s="3"/>
      <c r="J140" s="14"/>
      <c r="K140" s="3">
        <v>2.35</v>
      </c>
      <c r="L140" s="3">
        <v>5617</v>
      </c>
      <c r="M140" s="17">
        <v>16.100000000000001</v>
      </c>
      <c r="N140" s="3">
        <v>0</v>
      </c>
      <c r="O140" s="3">
        <v>0.92813891203703658</v>
      </c>
      <c r="P140" s="14">
        <v>40</v>
      </c>
      <c r="Q140" s="3">
        <v>0.7</v>
      </c>
      <c r="R140" s="17"/>
      <c r="S140" s="3"/>
      <c r="T140" s="14"/>
      <c r="U140" s="3">
        <v>88.5</v>
      </c>
      <c r="V140" s="3">
        <v>0</v>
      </c>
    </row>
    <row r="141" spans="1:22" x14ac:dyDescent="0.3">
      <c r="A141" t="s">
        <v>136</v>
      </c>
      <c r="B141">
        <v>2026</v>
      </c>
      <c r="C141" t="s">
        <v>72</v>
      </c>
      <c r="D141" t="s">
        <v>73</v>
      </c>
      <c r="E141" s="5">
        <v>46077</v>
      </c>
      <c r="F141" s="5">
        <v>46101</v>
      </c>
      <c r="G141" s="10">
        <v>78</v>
      </c>
      <c r="K141">
        <v>2.09</v>
      </c>
      <c r="L141">
        <v>3968</v>
      </c>
      <c r="M141" s="18">
        <v>25.7</v>
      </c>
      <c r="N141">
        <v>0</v>
      </c>
      <c r="O141">
        <v>1.2175345254629639</v>
      </c>
      <c r="P141" s="15">
        <v>35</v>
      </c>
      <c r="Q141">
        <v>0.9</v>
      </c>
      <c r="U141">
        <v>89</v>
      </c>
      <c r="V141">
        <v>0</v>
      </c>
    </row>
    <row r="142" spans="1:22" x14ac:dyDescent="0.3">
      <c r="A142" s="3" t="s">
        <v>136</v>
      </c>
      <c r="B142" s="3">
        <v>2026</v>
      </c>
      <c r="C142" s="3" t="s">
        <v>133</v>
      </c>
      <c r="D142" s="3" t="s">
        <v>75</v>
      </c>
      <c r="E142" s="4">
        <v>46077</v>
      </c>
      <c r="F142" s="4">
        <v>46101</v>
      </c>
      <c r="G142" s="9">
        <v>84</v>
      </c>
      <c r="H142" s="3"/>
      <c r="I142" s="3"/>
      <c r="J142" s="14"/>
      <c r="K142" s="3">
        <v>2.5099999999999998</v>
      </c>
      <c r="L142" s="3">
        <v>5607</v>
      </c>
      <c r="M142" s="17">
        <v>41.2</v>
      </c>
      <c r="N142" s="3">
        <v>0</v>
      </c>
      <c r="O142" s="3">
        <v>2.4967009259259245</v>
      </c>
      <c r="P142" s="14">
        <v>37</v>
      </c>
      <c r="Q142" s="3">
        <v>0.8</v>
      </c>
      <c r="R142" s="17"/>
      <c r="S142" s="3"/>
      <c r="T142" s="14"/>
      <c r="U142" s="3">
        <v>77</v>
      </c>
      <c r="V142" s="3">
        <v>1</v>
      </c>
    </row>
    <row r="143" spans="1:22" x14ac:dyDescent="0.3">
      <c r="A143" t="s">
        <v>136</v>
      </c>
      <c r="B143">
        <v>2026</v>
      </c>
      <c r="C143" t="s">
        <v>76</v>
      </c>
      <c r="D143" t="s">
        <v>77</v>
      </c>
      <c r="E143" s="5">
        <v>46077</v>
      </c>
      <c r="F143" s="5">
        <v>46101</v>
      </c>
      <c r="G143" s="10">
        <v>55</v>
      </c>
      <c r="K143">
        <v>2.3199999999999998</v>
      </c>
      <c r="L143">
        <v>5068</v>
      </c>
      <c r="M143" s="18">
        <v>25.4</v>
      </c>
      <c r="N143">
        <v>0</v>
      </c>
      <c r="O143">
        <v>1.3683074074074082</v>
      </c>
      <c r="P143" s="15">
        <v>24</v>
      </c>
      <c r="Q143">
        <v>1.4</v>
      </c>
      <c r="U143">
        <v>62.5</v>
      </c>
      <c r="V143">
        <v>1</v>
      </c>
    </row>
    <row r="144" spans="1:22" x14ac:dyDescent="0.3">
      <c r="A144" s="3" t="s">
        <v>136</v>
      </c>
      <c r="B144" s="3">
        <v>2026</v>
      </c>
      <c r="C144" s="3" t="s">
        <v>78</v>
      </c>
      <c r="D144" s="3" t="s">
        <v>79</v>
      </c>
      <c r="E144" s="4">
        <v>46080</v>
      </c>
      <c r="F144" s="4">
        <v>46101</v>
      </c>
      <c r="G144" s="9">
        <v>79</v>
      </c>
      <c r="H144" s="3"/>
      <c r="I144" s="3"/>
      <c r="J144" s="14"/>
      <c r="K144" s="3">
        <v>2.5499999999999998</v>
      </c>
      <c r="L144" s="3">
        <v>5910</v>
      </c>
      <c r="M144" s="17">
        <v>16.899999999999999</v>
      </c>
      <c r="N144" s="3">
        <v>0</v>
      </c>
      <c r="O144" s="3">
        <v>0.85196733796296253</v>
      </c>
      <c r="P144" s="14">
        <v>35</v>
      </c>
      <c r="Q144" s="3">
        <v>0.9</v>
      </c>
      <c r="R144" s="17"/>
      <c r="S144" s="3"/>
      <c r="T144" s="14"/>
      <c r="U144" s="3">
        <v>89.5</v>
      </c>
      <c r="V144" s="3">
        <v>0</v>
      </c>
    </row>
    <row r="145" spans="1:22" x14ac:dyDescent="0.3">
      <c r="A145" t="s">
        <v>136</v>
      </c>
      <c r="B145">
        <v>2026</v>
      </c>
      <c r="C145" t="s">
        <v>80</v>
      </c>
      <c r="D145" t="s">
        <v>81</v>
      </c>
      <c r="E145" s="5">
        <v>46077</v>
      </c>
      <c r="F145" s="5">
        <v>46101</v>
      </c>
      <c r="G145" s="10">
        <v>71</v>
      </c>
      <c r="K145">
        <v>2.4500000000000002</v>
      </c>
      <c r="L145">
        <v>4833</v>
      </c>
      <c r="M145" s="18">
        <v>19.399999999999999</v>
      </c>
      <c r="N145">
        <v>0</v>
      </c>
      <c r="O145">
        <v>0.82792643518518561</v>
      </c>
      <c r="P145" s="15">
        <v>32</v>
      </c>
      <c r="Q145">
        <v>0.5</v>
      </c>
      <c r="U145">
        <v>85.5</v>
      </c>
      <c r="V145">
        <v>0</v>
      </c>
    </row>
    <row r="146" spans="1:22" x14ac:dyDescent="0.3">
      <c r="A146" s="3" t="s">
        <v>136</v>
      </c>
      <c r="B146" s="3">
        <v>2026</v>
      </c>
      <c r="C146" s="3" t="s">
        <v>84</v>
      </c>
      <c r="D146" s="3" t="s">
        <v>83</v>
      </c>
      <c r="E146" s="4">
        <v>46077</v>
      </c>
      <c r="F146" s="4">
        <v>46101</v>
      </c>
      <c r="G146" s="9">
        <v>85</v>
      </c>
      <c r="H146" s="3"/>
      <c r="I146" s="3"/>
      <c r="J146" s="14"/>
      <c r="K146" s="3">
        <v>2.44</v>
      </c>
      <c r="L146" s="3">
        <v>5282</v>
      </c>
      <c r="M146" s="17">
        <v>22.8</v>
      </c>
      <c r="N146" s="3">
        <v>0</v>
      </c>
      <c r="O146" s="3">
        <v>1.1824650000000001</v>
      </c>
      <c r="P146" s="14">
        <v>37</v>
      </c>
      <c r="Q146" s="3">
        <v>0.4</v>
      </c>
      <c r="R146" s="17"/>
      <c r="S146" s="3"/>
      <c r="T146" s="14"/>
      <c r="U146" s="3">
        <v>92.5</v>
      </c>
      <c r="V146" s="3">
        <v>0</v>
      </c>
    </row>
    <row r="147" spans="1:22" x14ac:dyDescent="0.3">
      <c r="A147" t="s">
        <v>136</v>
      </c>
      <c r="B147">
        <v>2026</v>
      </c>
      <c r="C147" t="s">
        <v>85</v>
      </c>
      <c r="D147" t="s">
        <v>86</v>
      </c>
      <c r="E147" s="5">
        <v>46077</v>
      </c>
      <c r="F147" s="5">
        <v>46101</v>
      </c>
      <c r="G147" s="10">
        <v>77</v>
      </c>
      <c r="K147">
        <v>2.2999999999999998</v>
      </c>
      <c r="L147">
        <v>5553</v>
      </c>
      <c r="M147" s="18">
        <v>25.4</v>
      </c>
      <c r="N147">
        <v>0</v>
      </c>
      <c r="O147">
        <v>1.5481976157407396</v>
      </c>
      <c r="P147" s="15">
        <v>40</v>
      </c>
      <c r="Q147">
        <v>0.5</v>
      </c>
      <c r="U147">
        <v>88.5</v>
      </c>
      <c r="V147">
        <v>0</v>
      </c>
    </row>
    <row r="148" spans="1:22" x14ac:dyDescent="0.3">
      <c r="A148" s="3" t="s">
        <v>136</v>
      </c>
      <c r="B148" s="3">
        <v>2026</v>
      </c>
      <c r="C148" s="3" t="s">
        <v>87</v>
      </c>
      <c r="D148" s="3" t="s">
        <v>88</v>
      </c>
      <c r="E148" s="4">
        <v>46077</v>
      </c>
      <c r="F148" s="4">
        <v>46101</v>
      </c>
      <c r="G148" s="9">
        <v>73</v>
      </c>
      <c r="H148" s="3"/>
      <c r="I148" s="3"/>
      <c r="J148" s="14"/>
      <c r="K148" s="3">
        <v>2.54</v>
      </c>
      <c r="L148" s="3">
        <v>6150</v>
      </c>
      <c r="M148" s="17">
        <v>18.399999999999999</v>
      </c>
      <c r="N148" s="3">
        <v>0</v>
      </c>
      <c r="O148" s="3">
        <v>0.96101879629629605</v>
      </c>
      <c r="P148" s="14">
        <v>39</v>
      </c>
      <c r="Q148" s="3">
        <v>1</v>
      </c>
      <c r="R148" s="17"/>
      <c r="S148" s="3"/>
      <c r="T148" s="14"/>
      <c r="U148" s="3">
        <v>86.5</v>
      </c>
      <c r="V148" s="3">
        <v>0</v>
      </c>
    </row>
    <row r="149" spans="1:22" x14ac:dyDescent="0.3">
      <c r="A149" t="s">
        <v>136</v>
      </c>
      <c r="B149">
        <v>2026</v>
      </c>
      <c r="C149" t="s">
        <v>69</v>
      </c>
      <c r="D149" t="s">
        <v>89</v>
      </c>
      <c r="E149" s="5">
        <v>46077</v>
      </c>
      <c r="F149" s="5">
        <v>46101</v>
      </c>
      <c r="G149" s="10">
        <v>75</v>
      </c>
      <c r="K149">
        <v>2.56</v>
      </c>
      <c r="L149">
        <v>5750</v>
      </c>
      <c r="M149" s="18">
        <v>19.899999999999999</v>
      </c>
      <c r="N149">
        <v>0</v>
      </c>
      <c r="O149">
        <v>1.0814475347222219</v>
      </c>
      <c r="P149" s="15">
        <v>36</v>
      </c>
      <c r="Q149">
        <v>0.5</v>
      </c>
      <c r="U149">
        <v>87.5</v>
      </c>
      <c r="V149">
        <v>0</v>
      </c>
    </row>
    <row r="150" spans="1:22" x14ac:dyDescent="0.3">
      <c r="A150" s="3" t="s">
        <v>136</v>
      </c>
      <c r="B150" s="3">
        <v>2026</v>
      </c>
      <c r="C150" s="3" t="s">
        <v>90</v>
      </c>
      <c r="D150" s="3" t="s">
        <v>91</v>
      </c>
      <c r="E150" s="4">
        <v>46077</v>
      </c>
      <c r="F150" s="4">
        <v>46101</v>
      </c>
      <c r="G150" s="9">
        <v>77</v>
      </c>
      <c r="H150" s="3"/>
      <c r="I150" s="3"/>
      <c r="J150" s="14"/>
      <c r="K150" s="3">
        <v>2.2999999999999998</v>
      </c>
      <c r="L150" s="3">
        <v>5845</v>
      </c>
      <c r="M150" s="17">
        <v>19.600000000000001</v>
      </c>
      <c r="N150" s="3">
        <v>0</v>
      </c>
      <c r="O150" s="3">
        <v>1.2263293518518525</v>
      </c>
      <c r="P150" s="14">
        <v>45</v>
      </c>
      <c r="Q150" s="3">
        <v>0.8</v>
      </c>
      <c r="R150" s="17"/>
      <c r="S150" s="3"/>
      <c r="T150" s="14"/>
      <c r="U150" s="3">
        <v>88.5</v>
      </c>
      <c r="V150" s="3">
        <v>0</v>
      </c>
    </row>
    <row r="151" spans="1:22" x14ac:dyDescent="0.3">
      <c r="A151" t="s">
        <v>136</v>
      </c>
      <c r="B151">
        <v>2026</v>
      </c>
      <c r="C151" t="s">
        <v>92</v>
      </c>
      <c r="D151" t="s">
        <v>93</v>
      </c>
      <c r="E151" s="5">
        <v>46077</v>
      </c>
      <c r="F151" s="5">
        <v>46101</v>
      </c>
      <c r="G151" s="10">
        <v>80</v>
      </c>
      <c r="K151">
        <v>2.34</v>
      </c>
      <c r="L151">
        <v>4150</v>
      </c>
      <c r="M151" s="18">
        <v>16.5</v>
      </c>
      <c r="N151">
        <v>0</v>
      </c>
      <c r="O151">
        <v>0.68608871527777848</v>
      </c>
      <c r="P151" s="15">
        <v>28</v>
      </c>
      <c r="Q151">
        <v>0.2</v>
      </c>
      <c r="U151">
        <v>90</v>
      </c>
      <c r="V151">
        <v>0</v>
      </c>
    </row>
    <row r="152" spans="1:22" x14ac:dyDescent="0.3">
      <c r="A152" s="3" t="s">
        <v>136</v>
      </c>
      <c r="B152" s="3">
        <v>2026</v>
      </c>
      <c r="C152" s="3" t="s">
        <v>43</v>
      </c>
      <c r="D152" s="3" t="s">
        <v>94</v>
      </c>
      <c r="E152" s="4">
        <v>46088</v>
      </c>
      <c r="F152" s="4">
        <v>46101</v>
      </c>
      <c r="G152" s="9">
        <v>77</v>
      </c>
      <c r="H152" s="3"/>
      <c r="I152" s="3"/>
      <c r="J152" s="14"/>
      <c r="K152" s="3">
        <v>2.16</v>
      </c>
      <c r="L152" s="3">
        <v>2290</v>
      </c>
      <c r="M152" s="17">
        <v>28.8</v>
      </c>
      <c r="N152" s="3">
        <v>0</v>
      </c>
      <c r="O152" s="3">
        <v>0.7448766666666653</v>
      </c>
      <c r="P152" s="14">
        <v>24</v>
      </c>
      <c r="Q152" s="3">
        <v>1.2</v>
      </c>
      <c r="R152" s="17"/>
      <c r="S152" s="3"/>
      <c r="T152" s="14"/>
      <c r="U152" s="3">
        <v>88.5</v>
      </c>
      <c r="V152" s="3">
        <v>0</v>
      </c>
    </row>
    <row r="153" spans="1:22" x14ac:dyDescent="0.3">
      <c r="A153" t="s">
        <v>136</v>
      </c>
      <c r="B153">
        <v>2026</v>
      </c>
      <c r="C153" t="s">
        <v>64</v>
      </c>
      <c r="D153" t="s">
        <v>94</v>
      </c>
      <c r="E153" s="5">
        <v>46077</v>
      </c>
      <c r="F153" s="5">
        <v>46085</v>
      </c>
      <c r="G153" s="10">
        <v>79</v>
      </c>
      <c r="K153">
        <v>2.37</v>
      </c>
      <c r="L153">
        <v>1719</v>
      </c>
      <c r="M153" s="18">
        <v>18.100000000000001</v>
      </c>
      <c r="N153">
        <v>0</v>
      </c>
      <c r="O153">
        <v>0.34070107638888913</v>
      </c>
      <c r="P153" s="15">
        <v>15</v>
      </c>
      <c r="Q153">
        <v>1.5</v>
      </c>
      <c r="U153">
        <v>89.5</v>
      </c>
      <c r="V153">
        <v>0</v>
      </c>
    </row>
    <row r="154" spans="1:22" x14ac:dyDescent="0.3">
      <c r="A154" s="3" t="s">
        <v>136</v>
      </c>
      <c r="B154" s="3">
        <v>2026</v>
      </c>
      <c r="C154" s="3" t="s">
        <v>82</v>
      </c>
      <c r="D154" s="3" t="s">
        <v>95</v>
      </c>
      <c r="E154" s="4">
        <v>46077</v>
      </c>
      <c r="F154" s="4">
        <v>46101</v>
      </c>
      <c r="G154" s="9">
        <v>85</v>
      </c>
      <c r="H154" s="3"/>
      <c r="I154" s="3"/>
      <c r="J154" s="14"/>
      <c r="K154" s="3">
        <v>2.58</v>
      </c>
      <c r="L154" s="3">
        <v>5398</v>
      </c>
      <c r="M154" s="17">
        <v>19.8</v>
      </c>
      <c r="N154" s="3">
        <v>0</v>
      </c>
      <c r="O154" s="3">
        <v>0.96283916666666602</v>
      </c>
      <c r="P154" s="14">
        <v>24</v>
      </c>
      <c r="Q154" s="3">
        <v>0.2</v>
      </c>
      <c r="R154" s="17"/>
      <c r="S154" s="3"/>
      <c r="T154" s="14"/>
      <c r="U154" s="3">
        <v>92.5</v>
      </c>
      <c r="V154" s="3">
        <v>0</v>
      </c>
    </row>
    <row r="155" spans="1:22" x14ac:dyDescent="0.3">
      <c r="A155" t="s">
        <v>136</v>
      </c>
      <c r="B155">
        <v>2026</v>
      </c>
      <c r="C155" t="s">
        <v>98</v>
      </c>
      <c r="D155" t="s">
        <v>97</v>
      </c>
      <c r="E155" s="5">
        <v>46077</v>
      </c>
      <c r="F155" s="5">
        <v>46101</v>
      </c>
      <c r="G155" s="10">
        <v>72</v>
      </c>
      <c r="K155">
        <v>2.34</v>
      </c>
      <c r="L155">
        <v>4935</v>
      </c>
      <c r="M155" s="18">
        <v>23</v>
      </c>
      <c r="N155">
        <v>0</v>
      </c>
      <c r="O155">
        <v>1.0731203703703702</v>
      </c>
      <c r="P155" s="15">
        <v>25</v>
      </c>
      <c r="Q155">
        <v>0.7</v>
      </c>
      <c r="U155">
        <v>86</v>
      </c>
      <c r="V155">
        <v>0</v>
      </c>
    </row>
    <row r="156" spans="1:22" x14ac:dyDescent="0.3">
      <c r="A156" s="3" t="s">
        <v>136</v>
      </c>
      <c r="B156" s="3">
        <v>2026</v>
      </c>
      <c r="C156" s="3" t="s">
        <v>134</v>
      </c>
      <c r="D156" s="3" t="s">
        <v>100</v>
      </c>
      <c r="E156" s="4">
        <v>46088</v>
      </c>
      <c r="F156" s="4">
        <v>46101</v>
      </c>
      <c r="G156" s="9">
        <v>68</v>
      </c>
      <c r="H156" s="3"/>
      <c r="I156" s="3"/>
      <c r="J156" s="14"/>
      <c r="K156" s="3">
        <v>2.4900000000000002</v>
      </c>
      <c r="L156" s="3">
        <v>3867</v>
      </c>
      <c r="M156" s="17">
        <v>16.8</v>
      </c>
      <c r="N156" s="3">
        <v>0</v>
      </c>
      <c r="O156" s="3">
        <v>0.53741722222222277</v>
      </c>
      <c r="P156" s="14">
        <v>19</v>
      </c>
      <c r="Q156" s="3">
        <v>4.5</v>
      </c>
      <c r="R156" s="17"/>
      <c r="S156" s="3"/>
      <c r="T156" s="14"/>
      <c r="U156" s="3">
        <v>84</v>
      </c>
      <c r="V156" s="3">
        <v>0</v>
      </c>
    </row>
    <row r="157" spans="1:22" x14ac:dyDescent="0.3">
      <c r="A157" t="s">
        <v>136</v>
      </c>
      <c r="B157">
        <v>2026</v>
      </c>
      <c r="C157" t="s">
        <v>106</v>
      </c>
      <c r="D157" t="s">
        <v>100</v>
      </c>
      <c r="E157" s="5">
        <v>46081</v>
      </c>
      <c r="F157" s="5">
        <v>46087</v>
      </c>
      <c r="G157" s="10">
        <v>69</v>
      </c>
      <c r="K157">
        <v>2.1800000000000002</v>
      </c>
      <c r="L157">
        <v>1841</v>
      </c>
      <c r="M157" s="18">
        <v>14.3</v>
      </c>
      <c r="N157">
        <v>0</v>
      </c>
      <c r="O157">
        <v>0.23298076388888872</v>
      </c>
      <c r="P157" s="15">
        <v>9</v>
      </c>
      <c r="Q157">
        <v>2.2000000000000002</v>
      </c>
      <c r="U157">
        <v>84.5</v>
      </c>
      <c r="V157">
        <v>0</v>
      </c>
    </row>
    <row r="158" spans="1:22" x14ac:dyDescent="0.3">
      <c r="A158" s="3" t="s">
        <v>136</v>
      </c>
      <c r="B158" s="3">
        <v>2026</v>
      </c>
      <c r="C158" s="3" t="s">
        <v>101</v>
      </c>
      <c r="D158" s="3" t="s">
        <v>102</v>
      </c>
      <c r="E158" s="4">
        <v>46077</v>
      </c>
      <c r="F158" s="4">
        <v>46101</v>
      </c>
      <c r="G158" s="9">
        <v>81</v>
      </c>
      <c r="H158" s="3"/>
      <c r="I158" s="3"/>
      <c r="J158" s="14"/>
      <c r="K158" s="3">
        <v>2.4</v>
      </c>
      <c r="L158" s="3">
        <v>5358</v>
      </c>
      <c r="M158" s="17">
        <v>20.6</v>
      </c>
      <c r="N158" s="3">
        <v>0</v>
      </c>
      <c r="O158" s="3">
        <v>1.1379592592592587</v>
      </c>
      <c r="P158" s="14">
        <v>31</v>
      </c>
      <c r="Q158" s="3">
        <v>0.1</v>
      </c>
      <c r="R158" s="17"/>
      <c r="S158" s="3"/>
      <c r="T158" s="14"/>
      <c r="U158" s="3">
        <v>75.5</v>
      </c>
      <c r="V158" s="3">
        <v>1</v>
      </c>
    </row>
    <row r="159" spans="1:22" x14ac:dyDescent="0.3">
      <c r="A159" t="s">
        <v>136</v>
      </c>
      <c r="B159">
        <v>2026</v>
      </c>
      <c r="C159" t="s">
        <v>103</v>
      </c>
      <c r="D159" t="s">
        <v>104</v>
      </c>
      <c r="E159" s="5">
        <v>46077</v>
      </c>
      <c r="F159" s="5">
        <v>46101</v>
      </c>
      <c r="P159" s="15">
        <v>37</v>
      </c>
      <c r="U159">
        <v>50</v>
      </c>
    </row>
    <row r="160" spans="1:22" x14ac:dyDescent="0.3">
      <c r="A160" s="3" t="s">
        <v>136</v>
      </c>
      <c r="B160" s="3">
        <v>2026</v>
      </c>
      <c r="C160" s="3" t="s">
        <v>96</v>
      </c>
      <c r="D160" s="3" t="s">
        <v>105</v>
      </c>
      <c r="E160" s="4">
        <v>46086</v>
      </c>
      <c r="F160" s="4">
        <v>46101</v>
      </c>
      <c r="G160" s="9">
        <v>75</v>
      </c>
      <c r="H160" s="3"/>
      <c r="I160" s="3"/>
      <c r="J160" s="14"/>
      <c r="K160" s="3">
        <v>2.38</v>
      </c>
      <c r="L160" s="3">
        <v>3302</v>
      </c>
      <c r="M160" s="17">
        <v>20.3</v>
      </c>
      <c r="N160" s="3">
        <v>0</v>
      </c>
      <c r="O160" s="3">
        <v>0.63069092592592557</v>
      </c>
      <c r="P160" s="14">
        <v>20</v>
      </c>
      <c r="Q160" s="3">
        <v>0.1</v>
      </c>
      <c r="R160" s="17"/>
      <c r="S160" s="3"/>
      <c r="T160" s="14"/>
      <c r="U160" s="3">
        <v>87.5</v>
      </c>
      <c r="V160" s="3">
        <v>0</v>
      </c>
    </row>
    <row r="161" spans="1:22" x14ac:dyDescent="0.3">
      <c r="A161" t="s">
        <v>136</v>
      </c>
      <c r="B161">
        <v>2026</v>
      </c>
      <c r="C161" t="s">
        <v>134</v>
      </c>
      <c r="D161" t="s">
        <v>107</v>
      </c>
      <c r="E161" s="5">
        <v>46077</v>
      </c>
      <c r="F161" s="5">
        <v>46087</v>
      </c>
      <c r="G161" s="10">
        <v>67</v>
      </c>
      <c r="K161">
        <v>2.61</v>
      </c>
      <c r="L161">
        <v>2509</v>
      </c>
      <c r="M161" s="18">
        <v>24.4</v>
      </c>
      <c r="N161">
        <v>0</v>
      </c>
      <c r="O161">
        <v>0.68009916666666737</v>
      </c>
      <c r="P161" s="15">
        <v>14</v>
      </c>
      <c r="Q161">
        <v>2</v>
      </c>
      <c r="U161">
        <v>68.5</v>
      </c>
      <c r="V161">
        <v>1</v>
      </c>
    </row>
    <row r="162" spans="1:22" x14ac:dyDescent="0.3">
      <c r="A162" s="3" t="s">
        <v>136</v>
      </c>
      <c r="B162" s="3">
        <v>2026</v>
      </c>
      <c r="C162" s="3" t="s">
        <v>106</v>
      </c>
      <c r="D162" s="3" t="s">
        <v>107</v>
      </c>
      <c r="E162" s="4">
        <v>46088</v>
      </c>
      <c r="F162" s="4">
        <v>46101</v>
      </c>
      <c r="G162" s="9">
        <v>69</v>
      </c>
      <c r="H162" s="3"/>
      <c r="I162" s="3"/>
      <c r="J162" s="14"/>
      <c r="K162" s="3">
        <v>2.84</v>
      </c>
      <c r="L162" s="3">
        <v>2687</v>
      </c>
      <c r="M162" s="17">
        <v>27.6</v>
      </c>
      <c r="N162" s="3">
        <v>0</v>
      </c>
      <c r="O162" s="3">
        <v>0.70823069444444431</v>
      </c>
      <c r="P162" s="14">
        <v>16</v>
      </c>
      <c r="Q162" s="3">
        <v>0.4</v>
      </c>
      <c r="R162" s="17"/>
      <c r="S162" s="3"/>
      <c r="T162" s="14"/>
      <c r="U162" s="3">
        <v>84.5</v>
      </c>
      <c r="V162" s="3">
        <v>0</v>
      </c>
    </row>
    <row r="163" spans="1:22" x14ac:dyDescent="0.3">
      <c r="A163" t="s">
        <v>136</v>
      </c>
      <c r="B163">
        <v>2026</v>
      </c>
      <c r="C163" t="s">
        <v>108</v>
      </c>
      <c r="D163" t="s">
        <v>109</v>
      </c>
      <c r="E163" s="5">
        <v>46077</v>
      </c>
      <c r="F163" s="5">
        <v>46101</v>
      </c>
      <c r="G163" s="10">
        <v>80</v>
      </c>
      <c r="K163">
        <v>2.54</v>
      </c>
      <c r="L163">
        <v>3998</v>
      </c>
      <c r="M163" s="18">
        <v>30.7</v>
      </c>
      <c r="N163">
        <v>0</v>
      </c>
      <c r="O163">
        <v>1.3832334953703711</v>
      </c>
      <c r="P163" s="15">
        <v>24</v>
      </c>
      <c r="Q163">
        <v>0.2</v>
      </c>
      <c r="U163">
        <v>75</v>
      </c>
      <c r="V163">
        <v>1</v>
      </c>
    </row>
    <row r="164" spans="1:22" x14ac:dyDescent="0.3">
      <c r="A164" s="3" t="s">
        <v>136</v>
      </c>
      <c r="B164" s="3">
        <v>2026</v>
      </c>
      <c r="C164" s="3"/>
      <c r="D164" s="3" t="s">
        <v>111</v>
      </c>
      <c r="E164" s="3"/>
      <c r="F164" s="3"/>
      <c r="G164" s="9"/>
      <c r="H164" s="3"/>
      <c r="I164" s="3"/>
      <c r="J164" s="14"/>
      <c r="K164" s="3"/>
      <c r="L164" s="3"/>
      <c r="M164" s="17"/>
      <c r="N164" s="3"/>
      <c r="O164" s="3"/>
      <c r="P164" s="14"/>
      <c r="Q164" s="3"/>
      <c r="R164" s="17"/>
      <c r="S164" s="3"/>
      <c r="T164" s="14"/>
      <c r="U164" s="3"/>
      <c r="V164" s="3"/>
    </row>
    <row r="165" spans="1:22" x14ac:dyDescent="0.3">
      <c r="A165" t="s">
        <v>136</v>
      </c>
      <c r="B165">
        <v>2026</v>
      </c>
      <c r="C165" t="s">
        <v>113</v>
      </c>
      <c r="D165" t="s">
        <v>114</v>
      </c>
      <c r="E165" s="5">
        <v>46077</v>
      </c>
      <c r="F165" s="5">
        <v>46101</v>
      </c>
      <c r="G165" s="10">
        <v>77</v>
      </c>
      <c r="K165">
        <v>2.44</v>
      </c>
      <c r="L165">
        <v>4899</v>
      </c>
      <c r="M165" s="18">
        <v>14.8</v>
      </c>
      <c r="N165">
        <v>0</v>
      </c>
      <c r="O165">
        <v>0.65335148148148192</v>
      </c>
      <c r="P165" s="15">
        <v>42</v>
      </c>
      <c r="Q165">
        <v>0.1</v>
      </c>
      <c r="U165">
        <v>88.5</v>
      </c>
      <c r="V165">
        <v>0</v>
      </c>
    </row>
    <row r="166" spans="1:22" x14ac:dyDescent="0.3">
      <c r="A166" s="3" t="s">
        <v>136</v>
      </c>
      <c r="B166" s="3">
        <v>2026</v>
      </c>
      <c r="C166" s="3"/>
      <c r="D166" s="3" t="s">
        <v>111</v>
      </c>
      <c r="E166" s="3"/>
      <c r="F166" s="3"/>
      <c r="G166" s="9"/>
      <c r="H166" s="3"/>
      <c r="I166" s="3"/>
      <c r="J166" s="14"/>
      <c r="K166" s="3"/>
      <c r="L166" s="3"/>
      <c r="M166" s="17"/>
      <c r="N166" s="3"/>
      <c r="O166" s="3"/>
      <c r="P166" s="14">
        <v>0</v>
      </c>
      <c r="Q166" s="3"/>
      <c r="R166" s="17"/>
      <c r="S166" s="3"/>
      <c r="T166" s="14"/>
      <c r="U166" s="3">
        <v>50</v>
      </c>
      <c r="V166" s="3">
        <v>0</v>
      </c>
    </row>
    <row r="167" spans="1:22" x14ac:dyDescent="0.3">
      <c r="A167" t="s">
        <v>136</v>
      </c>
      <c r="B167">
        <v>2026</v>
      </c>
      <c r="C167" t="s">
        <v>115</v>
      </c>
      <c r="D167" t="s">
        <v>116</v>
      </c>
      <c r="E167" s="5">
        <v>46091</v>
      </c>
      <c r="F167" s="5">
        <v>46101</v>
      </c>
      <c r="G167" s="10">
        <v>40</v>
      </c>
      <c r="K167">
        <v>2.15</v>
      </c>
      <c r="L167">
        <v>1138</v>
      </c>
      <c r="M167" s="18">
        <v>28.4</v>
      </c>
      <c r="N167">
        <v>0</v>
      </c>
      <c r="O167">
        <v>0.3681119907407403</v>
      </c>
      <c r="P167" s="15">
        <v>12</v>
      </c>
      <c r="Q167">
        <v>0.1</v>
      </c>
      <c r="U167">
        <v>70</v>
      </c>
      <c r="V167">
        <v>0</v>
      </c>
    </row>
    <row r="168" spans="1:22" x14ac:dyDescent="0.3">
      <c r="A168" s="3" t="s">
        <v>136</v>
      </c>
      <c r="B168" s="3">
        <v>2026</v>
      </c>
      <c r="C168" s="3" t="s">
        <v>117</v>
      </c>
      <c r="D168" s="3" t="s">
        <v>119</v>
      </c>
      <c r="E168" s="4">
        <v>46077</v>
      </c>
      <c r="F168" s="4">
        <v>46101</v>
      </c>
      <c r="G168" s="9">
        <v>60</v>
      </c>
      <c r="H168" s="3"/>
      <c r="I168" s="3"/>
      <c r="J168" s="14"/>
      <c r="K168" s="3">
        <v>2.5949999999999998</v>
      </c>
      <c r="L168" s="3">
        <v>6303</v>
      </c>
      <c r="M168" s="17">
        <v>21.7</v>
      </c>
      <c r="N168" s="3">
        <v>0</v>
      </c>
      <c r="O168" s="3">
        <v>1.3270013773148146</v>
      </c>
      <c r="P168" s="14">
        <v>36</v>
      </c>
      <c r="Q168" s="3">
        <v>0.3</v>
      </c>
      <c r="R168" s="17"/>
      <c r="S168" s="3"/>
      <c r="T168" s="14"/>
      <c r="U168" s="3">
        <v>80</v>
      </c>
      <c r="V168" s="3">
        <v>0</v>
      </c>
    </row>
    <row r="169" spans="1:22" x14ac:dyDescent="0.3">
      <c r="A169" t="s">
        <v>136</v>
      </c>
      <c r="B169">
        <v>2026</v>
      </c>
      <c r="C169" t="s">
        <v>118</v>
      </c>
      <c r="D169" t="s">
        <v>120</v>
      </c>
      <c r="E169" s="5">
        <v>46077</v>
      </c>
      <c r="F169" s="5">
        <v>46101</v>
      </c>
      <c r="G169" s="10">
        <v>68</v>
      </c>
      <c r="K169">
        <v>2.14</v>
      </c>
      <c r="L169">
        <v>5122</v>
      </c>
      <c r="M169" s="18">
        <v>35.799999999999997</v>
      </c>
      <c r="N169">
        <v>0</v>
      </c>
      <c r="O169">
        <v>2.1189580787037019</v>
      </c>
      <c r="P169" s="15">
        <v>29</v>
      </c>
      <c r="Q169">
        <v>0.7</v>
      </c>
      <c r="U169">
        <v>69</v>
      </c>
      <c r="V169">
        <v>1</v>
      </c>
    </row>
    <row r="170" spans="1:22" x14ac:dyDescent="0.3">
      <c r="A170" s="3" t="s">
        <v>136</v>
      </c>
      <c r="B170" s="3">
        <v>2026</v>
      </c>
      <c r="C170" s="3" t="s">
        <v>115</v>
      </c>
      <c r="D170" s="3" t="s">
        <v>122</v>
      </c>
      <c r="E170" s="4">
        <v>46081</v>
      </c>
      <c r="F170" s="4">
        <v>46085</v>
      </c>
      <c r="G170" s="9">
        <v>58</v>
      </c>
      <c r="H170" s="3"/>
      <c r="I170" s="3"/>
      <c r="J170" s="14"/>
      <c r="K170" s="3">
        <v>3.84</v>
      </c>
      <c r="L170" s="3">
        <v>2472</v>
      </c>
      <c r="M170" s="17">
        <v>15</v>
      </c>
      <c r="N170" s="3">
        <v>13</v>
      </c>
      <c r="O170" s="3">
        <v>0.29166666666666669</v>
      </c>
      <c r="P170" s="14">
        <v>4</v>
      </c>
      <c r="Q170" s="3">
        <v>0</v>
      </c>
      <c r="R170" s="17"/>
      <c r="S170" s="3"/>
      <c r="T170" s="14"/>
      <c r="U170" s="3">
        <v>64</v>
      </c>
      <c r="V170" s="3">
        <v>1</v>
      </c>
    </row>
    <row r="171" spans="1:22" x14ac:dyDescent="0.3">
      <c r="A171" t="s">
        <v>136</v>
      </c>
      <c r="B171">
        <v>2026</v>
      </c>
      <c r="C171" t="s">
        <v>128</v>
      </c>
      <c r="D171" t="s">
        <v>122</v>
      </c>
      <c r="E171" s="5">
        <v>46077</v>
      </c>
      <c r="F171" s="5">
        <v>46080</v>
      </c>
      <c r="G171" s="10">
        <v>70</v>
      </c>
      <c r="K171">
        <v>3.87</v>
      </c>
      <c r="L171">
        <v>3334</v>
      </c>
      <c r="M171" s="18">
        <v>6.6</v>
      </c>
      <c r="N171">
        <v>0</v>
      </c>
      <c r="O171">
        <v>0.14536118055555558</v>
      </c>
      <c r="P171" s="15">
        <v>3</v>
      </c>
      <c r="Q171">
        <v>0</v>
      </c>
      <c r="U171">
        <v>85</v>
      </c>
      <c r="V171">
        <v>0</v>
      </c>
    </row>
    <row r="172" spans="1:22" x14ac:dyDescent="0.3">
      <c r="A172" s="3" t="s">
        <v>136</v>
      </c>
      <c r="B172" s="3">
        <v>2026</v>
      </c>
      <c r="C172" s="3" t="s">
        <v>121</v>
      </c>
      <c r="D172" s="3" t="s">
        <v>122</v>
      </c>
      <c r="E172" s="4">
        <v>46086</v>
      </c>
      <c r="F172" s="4">
        <v>46101</v>
      </c>
      <c r="G172" s="9">
        <v>63</v>
      </c>
      <c r="H172" s="3"/>
      <c r="I172" s="3"/>
      <c r="J172" s="14"/>
      <c r="K172" s="3">
        <v>2.4900000000000002</v>
      </c>
      <c r="L172" s="3">
        <v>3354</v>
      </c>
      <c r="M172" s="17">
        <v>22.2</v>
      </c>
      <c r="N172" s="3">
        <v>0</v>
      </c>
      <c r="O172" s="3">
        <v>0.66351020833333285</v>
      </c>
      <c r="P172" s="14">
        <v>27</v>
      </c>
      <c r="Q172" s="3">
        <v>0.4</v>
      </c>
      <c r="R172" s="17"/>
      <c r="S172" s="3"/>
      <c r="T172" s="14"/>
      <c r="U172" s="3">
        <v>81.5</v>
      </c>
      <c r="V172" s="3">
        <v>0</v>
      </c>
    </row>
    <row r="173" spans="1:22" x14ac:dyDescent="0.3">
      <c r="A173" t="s">
        <v>136</v>
      </c>
      <c r="B173">
        <v>2026</v>
      </c>
      <c r="C173" t="s">
        <v>74</v>
      </c>
      <c r="D173" t="s">
        <v>123</v>
      </c>
      <c r="E173" s="5">
        <v>46077</v>
      </c>
      <c r="F173" s="5">
        <v>46101</v>
      </c>
      <c r="G173" s="10">
        <v>81</v>
      </c>
      <c r="K173">
        <v>2.37</v>
      </c>
      <c r="L173">
        <v>4951</v>
      </c>
      <c r="M173" s="18">
        <v>21.4</v>
      </c>
      <c r="N173">
        <v>0</v>
      </c>
      <c r="O173">
        <v>1.2681952083333325</v>
      </c>
      <c r="P173" s="15">
        <v>38</v>
      </c>
      <c r="Q173">
        <v>2.1</v>
      </c>
      <c r="U173">
        <v>90.5</v>
      </c>
      <c r="V173">
        <v>0</v>
      </c>
    </row>
    <row r="174" spans="1:22" x14ac:dyDescent="0.3">
      <c r="A174" s="3" t="s">
        <v>136</v>
      </c>
      <c r="B174" s="3">
        <v>2026</v>
      </c>
      <c r="C174" s="3" t="s">
        <v>124</v>
      </c>
      <c r="D174" s="3" t="s">
        <v>125</v>
      </c>
      <c r="E174" s="4">
        <v>46077</v>
      </c>
      <c r="F174" s="4">
        <v>46101</v>
      </c>
      <c r="G174" s="9">
        <v>78</v>
      </c>
      <c r="H174" s="3"/>
      <c r="I174" s="3"/>
      <c r="J174" s="14"/>
      <c r="K174" s="3">
        <v>2.5099999999999998</v>
      </c>
      <c r="L174" s="3">
        <v>4122</v>
      </c>
      <c r="M174" s="17">
        <v>23.6</v>
      </c>
      <c r="N174" s="3">
        <v>0</v>
      </c>
      <c r="O174" s="3">
        <v>1.0534231481481486</v>
      </c>
      <c r="P174" s="14">
        <v>33</v>
      </c>
      <c r="Q174" s="3">
        <v>1.4</v>
      </c>
      <c r="R174" s="17"/>
      <c r="S174" s="3"/>
      <c r="T174" s="14"/>
      <c r="U174" s="3">
        <v>89</v>
      </c>
      <c r="V174" s="3">
        <v>0</v>
      </c>
    </row>
    <row r="175" spans="1:22" x14ac:dyDescent="0.3">
      <c r="A175" t="s">
        <v>136</v>
      </c>
      <c r="B175">
        <v>2026</v>
      </c>
      <c r="C175" t="s">
        <v>126</v>
      </c>
      <c r="D175" t="s">
        <v>127</v>
      </c>
      <c r="E175" s="5">
        <v>46077</v>
      </c>
      <c r="F175" s="5">
        <v>46101</v>
      </c>
      <c r="G175" s="10">
        <v>57</v>
      </c>
      <c r="K175">
        <v>2.34</v>
      </c>
      <c r="L175">
        <v>5061</v>
      </c>
      <c r="M175" s="18">
        <v>28.4</v>
      </c>
      <c r="N175">
        <v>0</v>
      </c>
      <c r="O175">
        <v>1.7394243981481492</v>
      </c>
      <c r="P175" s="15">
        <v>29</v>
      </c>
      <c r="Q175">
        <v>2.1</v>
      </c>
      <c r="U175">
        <v>63.5</v>
      </c>
      <c r="V175">
        <v>1</v>
      </c>
    </row>
    <row r="176" spans="1:22" x14ac:dyDescent="0.3">
      <c r="A176" s="3" t="s">
        <v>136</v>
      </c>
      <c r="B176" s="3">
        <v>2026</v>
      </c>
      <c r="C176" s="3" t="s">
        <v>140</v>
      </c>
      <c r="D176" s="3" t="s">
        <v>129</v>
      </c>
      <c r="E176" s="4">
        <v>46077</v>
      </c>
      <c r="F176" s="4">
        <v>46097</v>
      </c>
      <c r="G176" s="9"/>
      <c r="H176" s="3"/>
      <c r="I176" s="3"/>
      <c r="J176" s="14"/>
      <c r="K176" s="3"/>
      <c r="L176" s="3"/>
      <c r="M176" s="17"/>
      <c r="N176" s="3"/>
      <c r="O176" s="3"/>
      <c r="P176" s="14">
        <v>20</v>
      </c>
      <c r="Q176" s="3"/>
      <c r="R176" s="17"/>
      <c r="S176" s="3"/>
      <c r="T176" s="14"/>
      <c r="U176" s="3">
        <v>50</v>
      </c>
      <c r="V176" s="3"/>
    </row>
    <row r="177" spans="1:22" x14ac:dyDescent="0.3">
      <c r="A177" t="s">
        <v>141</v>
      </c>
      <c r="B177">
        <v>2026</v>
      </c>
      <c r="C177" t="s">
        <v>137</v>
      </c>
      <c r="D177" t="s">
        <v>37</v>
      </c>
      <c r="E177" s="5">
        <v>46046</v>
      </c>
      <c r="F177" s="5">
        <v>46075</v>
      </c>
    </row>
    <row r="178" spans="1:22" x14ac:dyDescent="0.3">
      <c r="A178" s="3" t="s">
        <v>141</v>
      </c>
      <c r="B178" s="3">
        <v>2026</v>
      </c>
      <c r="C178" s="3" t="s">
        <v>138</v>
      </c>
      <c r="D178" s="3" t="s">
        <v>39</v>
      </c>
      <c r="E178" s="4">
        <v>46064</v>
      </c>
      <c r="F178" s="4">
        <v>46075</v>
      </c>
      <c r="G178" s="9"/>
      <c r="H178" s="3"/>
      <c r="I178" s="3"/>
      <c r="J178" s="14"/>
      <c r="K178" s="3"/>
      <c r="L178" s="3"/>
      <c r="M178" s="17"/>
      <c r="N178" s="3"/>
      <c r="O178" s="3"/>
      <c r="P178" s="14"/>
      <c r="Q178" s="3"/>
      <c r="R178" s="17"/>
      <c r="S178" s="3"/>
      <c r="T178" s="14"/>
      <c r="U178" s="3"/>
      <c r="V178" s="3"/>
    </row>
    <row r="179" spans="1:22" x14ac:dyDescent="0.3">
      <c r="A179" t="s">
        <v>141</v>
      </c>
      <c r="B179">
        <v>2026</v>
      </c>
      <c r="C179" t="s">
        <v>56</v>
      </c>
      <c r="D179" t="s">
        <v>39</v>
      </c>
      <c r="E179" s="5">
        <v>46046</v>
      </c>
      <c r="F179" s="5">
        <v>46058</v>
      </c>
    </row>
    <row r="180" spans="1:22" x14ac:dyDescent="0.3">
      <c r="A180" s="3" t="s">
        <v>141</v>
      </c>
      <c r="B180" s="3">
        <v>2026</v>
      </c>
      <c r="C180" s="3" t="s">
        <v>138</v>
      </c>
      <c r="D180" s="3" t="s">
        <v>139</v>
      </c>
      <c r="E180" s="4">
        <v>46046</v>
      </c>
      <c r="F180" s="4">
        <v>46063</v>
      </c>
      <c r="G180" s="9"/>
      <c r="H180" s="3"/>
      <c r="I180" s="3"/>
      <c r="J180" s="14"/>
      <c r="K180" s="3"/>
      <c r="L180" s="3"/>
      <c r="M180" s="17"/>
      <c r="N180" s="3"/>
      <c r="O180" s="3"/>
      <c r="P180" s="14"/>
      <c r="Q180" s="3"/>
      <c r="R180" s="17"/>
      <c r="S180" s="3"/>
      <c r="T180" s="14"/>
      <c r="U180" s="3"/>
      <c r="V180" s="3"/>
    </row>
    <row r="181" spans="1:22" x14ac:dyDescent="0.3">
      <c r="A181" t="s">
        <v>141</v>
      </c>
      <c r="B181">
        <v>2026</v>
      </c>
      <c r="C181" t="s">
        <v>65</v>
      </c>
      <c r="D181" t="s">
        <v>139</v>
      </c>
      <c r="E181" s="5">
        <v>46072</v>
      </c>
      <c r="F181" s="5">
        <v>46075</v>
      </c>
    </row>
    <row r="182" spans="1:22" x14ac:dyDescent="0.3">
      <c r="A182" s="3" t="s">
        <v>141</v>
      </c>
      <c r="B182" s="3">
        <v>2026</v>
      </c>
      <c r="C182" s="3" t="s">
        <v>36</v>
      </c>
      <c r="D182" s="3" t="s">
        <v>40</v>
      </c>
      <c r="E182" s="4">
        <v>46046</v>
      </c>
      <c r="F182" s="4">
        <v>46075</v>
      </c>
      <c r="G182" s="9"/>
      <c r="H182" s="3"/>
      <c r="I182" s="3"/>
      <c r="J182" s="14"/>
      <c r="K182" s="3"/>
      <c r="L182" s="3"/>
      <c r="M182" s="17"/>
      <c r="N182" s="3"/>
      <c r="O182" s="3"/>
      <c r="P182" s="14"/>
      <c r="Q182" s="3"/>
      <c r="R182" s="17"/>
      <c r="S182" s="3"/>
      <c r="T182" s="14"/>
      <c r="U182" s="3"/>
      <c r="V182" s="3"/>
    </row>
    <row r="183" spans="1:22" x14ac:dyDescent="0.3">
      <c r="A183" t="s">
        <v>141</v>
      </c>
      <c r="B183">
        <v>2026</v>
      </c>
      <c r="C183" t="s">
        <v>142</v>
      </c>
      <c r="D183" t="s">
        <v>42</v>
      </c>
      <c r="E183" s="5">
        <v>46046</v>
      </c>
      <c r="F183" s="5">
        <v>46075</v>
      </c>
    </row>
    <row r="184" spans="1:22" x14ac:dyDescent="0.3">
      <c r="A184" s="3" t="s">
        <v>141</v>
      </c>
      <c r="B184" s="3">
        <v>2026</v>
      </c>
      <c r="C184" s="3" t="s">
        <v>48</v>
      </c>
      <c r="D184" s="3" t="s">
        <v>44</v>
      </c>
      <c r="E184" s="4">
        <v>46046</v>
      </c>
      <c r="F184" s="4">
        <v>46049</v>
      </c>
      <c r="G184" s="9"/>
      <c r="H184" s="3"/>
      <c r="I184" s="3"/>
      <c r="J184" s="14"/>
      <c r="K184" s="3"/>
      <c r="L184" s="3"/>
      <c r="M184" s="17"/>
      <c r="N184" s="3"/>
      <c r="O184" s="3"/>
      <c r="P184" s="14"/>
      <c r="Q184" s="3"/>
      <c r="R184" s="17"/>
      <c r="S184" s="3"/>
      <c r="T184" s="14"/>
      <c r="U184" s="3"/>
      <c r="V184" s="3"/>
    </row>
    <row r="185" spans="1:22" x14ac:dyDescent="0.3">
      <c r="A185" t="s">
        <v>141</v>
      </c>
      <c r="B185">
        <v>2026</v>
      </c>
      <c r="C185" t="s">
        <v>43</v>
      </c>
      <c r="D185" t="s">
        <v>44</v>
      </c>
      <c r="E185" s="5">
        <v>46052</v>
      </c>
      <c r="F185" s="5">
        <v>46069</v>
      </c>
    </row>
    <row r="186" spans="1:22" x14ac:dyDescent="0.3">
      <c r="A186" s="3" t="s">
        <v>141</v>
      </c>
      <c r="B186" s="3">
        <v>2026</v>
      </c>
      <c r="C186" s="3" t="s">
        <v>38</v>
      </c>
      <c r="D186" s="3" t="s">
        <v>44</v>
      </c>
      <c r="E186" s="4">
        <v>46050</v>
      </c>
      <c r="F186" s="4">
        <v>46051</v>
      </c>
      <c r="G186" s="9"/>
      <c r="H186" s="3"/>
      <c r="I186" s="3"/>
      <c r="J186" s="14"/>
      <c r="K186" s="3"/>
      <c r="L186" s="3"/>
      <c r="M186" s="17"/>
      <c r="N186" s="3"/>
      <c r="O186" s="3"/>
      <c r="P186" s="14"/>
      <c r="Q186" s="3"/>
      <c r="R186" s="17"/>
      <c r="S186" s="3"/>
      <c r="T186" s="14"/>
      <c r="U186" s="3"/>
      <c r="V186" s="3"/>
    </row>
    <row r="187" spans="1:22" x14ac:dyDescent="0.3">
      <c r="A187" t="s">
        <v>141</v>
      </c>
      <c r="B187">
        <v>2026</v>
      </c>
      <c r="C187" t="s">
        <v>56</v>
      </c>
      <c r="D187" t="s">
        <v>44</v>
      </c>
      <c r="E187" s="5">
        <v>46071</v>
      </c>
      <c r="F187" s="5">
        <v>46075</v>
      </c>
    </row>
    <row r="188" spans="1:22" x14ac:dyDescent="0.3">
      <c r="A188" s="3" t="s">
        <v>141</v>
      </c>
      <c r="B188" s="3">
        <v>2026</v>
      </c>
      <c r="C188" s="3" t="s">
        <v>132</v>
      </c>
      <c r="D188" s="3" t="s">
        <v>46</v>
      </c>
      <c r="E188" s="4">
        <v>46046</v>
      </c>
      <c r="F188" s="4">
        <v>46075</v>
      </c>
      <c r="G188" s="9">
        <v>74</v>
      </c>
      <c r="H188" s="3"/>
      <c r="I188" s="3"/>
      <c r="J188" s="14"/>
      <c r="K188" s="3">
        <v>2.2599999999999998</v>
      </c>
      <c r="L188" s="3">
        <v>5145</v>
      </c>
      <c r="M188" s="17">
        <v>30.6</v>
      </c>
      <c r="N188" s="3">
        <v>118</v>
      </c>
      <c r="O188" s="3">
        <v>2.113772916666667</v>
      </c>
      <c r="P188" s="14">
        <v>47</v>
      </c>
      <c r="Q188" s="3">
        <v>0.5</v>
      </c>
      <c r="R188" s="17"/>
      <c r="S188" s="3"/>
      <c r="T188" s="14"/>
      <c r="U188" s="3">
        <v>57</v>
      </c>
      <c r="V188" s="3">
        <v>2</v>
      </c>
    </row>
    <row r="189" spans="1:22" x14ac:dyDescent="0.3">
      <c r="A189" t="s">
        <v>141</v>
      </c>
      <c r="B189">
        <v>2026</v>
      </c>
      <c r="C189" t="s">
        <v>76</v>
      </c>
      <c r="D189" t="s">
        <v>49</v>
      </c>
      <c r="E189" s="5">
        <v>46046</v>
      </c>
      <c r="F189" s="5">
        <v>46049</v>
      </c>
    </row>
    <row r="190" spans="1:22" x14ac:dyDescent="0.3">
      <c r="A190" s="3" t="s">
        <v>141</v>
      </c>
      <c r="B190" s="3">
        <v>2026</v>
      </c>
      <c r="C190" s="3" t="s">
        <v>48</v>
      </c>
      <c r="D190" s="3" t="s">
        <v>49</v>
      </c>
      <c r="E190" s="4">
        <v>46050</v>
      </c>
      <c r="F190" s="4">
        <v>46075</v>
      </c>
      <c r="G190" s="9"/>
      <c r="H190" s="3"/>
      <c r="I190" s="3"/>
      <c r="J190" s="14"/>
      <c r="K190" s="3"/>
      <c r="L190" s="3"/>
      <c r="M190" s="17"/>
      <c r="N190" s="3"/>
      <c r="O190" s="3"/>
      <c r="P190" s="14"/>
      <c r="Q190" s="3"/>
      <c r="R190" s="17"/>
      <c r="S190" s="3"/>
      <c r="T190" s="14"/>
      <c r="U190" s="3"/>
      <c r="V190" s="3"/>
    </row>
    <row r="191" spans="1:22" x14ac:dyDescent="0.3">
      <c r="A191" t="s">
        <v>141</v>
      </c>
      <c r="B191">
        <v>2026</v>
      </c>
      <c r="C191" t="s">
        <v>43</v>
      </c>
      <c r="D191" t="s">
        <v>50</v>
      </c>
      <c r="E191" s="5">
        <v>46046</v>
      </c>
      <c r="F191" s="5">
        <v>46051</v>
      </c>
    </row>
    <row r="192" spans="1:22" x14ac:dyDescent="0.3">
      <c r="A192" s="3" t="s">
        <v>141</v>
      </c>
      <c r="B192" s="3">
        <v>2026</v>
      </c>
      <c r="C192" s="3" t="s">
        <v>38</v>
      </c>
      <c r="D192" s="3" t="s">
        <v>50</v>
      </c>
      <c r="E192" s="4">
        <v>46052</v>
      </c>
      <c r="F192" s="4">
        <v>46075</v>
      </c>
      <c r="G192" s="9"/>
      <c r="H192" s="3"/>
      <c r="I192" s="3"/>
      <c r="J192" s="14"/>
      <c r="K192" s="3"/>
      <c r="L192" s="3"/>
      <c r="M192" s="17"/>
      <c r="N192" s="3"/>
      <c r="O192" s="3"/>
      <c r="P192" s="14"/>
      <c r="Q192" s="3"/>
      <c r="R192" s="17"/>
      <c r="S192" s="3"/>
      <c r="T192" s="14"/>
      <c r="U192" s="3"/>
      <c r="V192" s="3"/>
    </row>
    <row r="193" spans="1:22" x14ac:dyDescent="0.3">
      <c r="A193" t="s">
        <v>141</v>
      </c>
      <c r="B193">
        <v>2026</v>
      </c>
      <c r="C193" t="s">
        <v>43</v>
      </c>
      <c r="D193" t="s">
        <v>50</v>
      </c>
      <c r="E193" s="5">
        <v>46046</v>
      </c>
      <c r="F193" s="5">
        <v>46051</v>
      </c>
      <c r="G193" s="10">
        <v>40</v>
      </c>
      <c r="K193">
        <v>2.12</v>
      </c>
      <c r="L193">
        <v>886</v>
      </c>
      <c r="M193" s="18">
        <v>47.1</v>
      </c>
      <c r="N193">
        <v>30</v>
      </c>
      <c r="O193">
        <v>0.56804562500000155</v>
      </c>
      <c r="P193" s="15">
        <v>7</v>
      </c>
      <c r="Q193">
        <v>1</v>
      </c>
      <c r="U193">
        <v>40</v>
      </c>
      <c r="V193">
        <v>2</v>
      </c>
    </row>
    <row r="194" spans="1:22" x14ac:dyDescent="0.3">
      <c r="A194" s="3" t="s">
        <v>141</v>
      </c>
      <c r="B194" s="3">
        <v>2026</v>
      </c>
      <c r="C194" s="3" t="s">
        <v>38</v>
      </c>
      <c r="D194" s="3" t="s">
        <v>50</v>
      </c>
      <c r="E194" s="4">
        <v>46052</v>
      </c>
      <c r="F194" s="4">
        <v>46075</v>
      </c>
      <c r="G194" s="9">
        <v>72</v>
      </c>
      <c r="H194" s="3"/>
      <c r="I194" s="3"/>
      <c r="J194" s="14"/>
      <c r="K194" s="3">
        <v>2.37</v>
      </c>
      <c r="L194" s="3">
        <v>3591</v>
      </c>
      <c r="M194" s="17">
        <v>27.6</v>
      </c>
      <c r="N194" s="3">
        <v>59</v>
      </c>
      <c r="O194" s="3">
        <v>1.0186604166666664</v>
      </c>
      <c r="P194" s="14">
        <v>31</v>
      </c>
      <c r="Q194" s="3">
        <v>1.1000000000000001</v>
      </c>
      <c r="R194" s="17"/>
      <c r="S194" s="3"/>
      <c r="T194" s="14"/>
      <c r="U194" s="3">
        <v>71</v>
      </c>
      <c r="V194" s="3">
        <v>1</v>
      </c>
    </row>
    <row r="195" spans="1:22" x14ac:dyDescent="0.3">
      <c r="A195" t="s">
        <v>141</v>
      </c>
      <c r="B195">
        <v>2026</v>
      </c>
      <c r="C195" t="s">
        <v>52</v>
      </c>
      <c r="D195" t="s">
        <v>53</v>
      </c>
      <c r="E195" s="5">
        <v>46046</v>
      </c>
      <c r="F195" s="5">
        <v>46075</v>
      </c>
      <c r="G195" s="10">
        <v>61</v>
      </c>
      <c r="K195">
        <v>2.44</v>
      </c>
      <c r="L195">
        <v>5489</v>
      </c>
      <c r="M195" s="18">
        <v>28.7</v>
      </c>
      <c r="N195">
        <v>94</v>
      </c>
      <c r="O195">
        <v>1.8054425925925923</v>
      </c>
      <c r="P195" s="15">
        <v>42</v>
      </c>
      <c r="Q195">
        <v>0.5</v>
      </c>
      <c r="U195">
        <v>80.5</v>
      </c>
      <c r="V195">
        <v>0</v>
      </c>
    </row>
    <row r="196" spans="1:22" x14ac:dyDescent="0.3">
      <c r="A196" s="3" t="s">
        <v>141</v>
      </c>
      <c r="B196" s="3">
        <v>2026</v>
      </c>
      <c r="C196" s="3" t="s">
        <v>54</v>
      </c>
      <c r="D196" s="3" t="s">
        <v>55</v>
      </c>
      <c r="E196" s="4">
        <v>46046</v>
      </c>
      <c r="F196" s="4">
        <v>46075</v>
      </c>
      <c r="G196" s="9">
        <v>47</v>
      </c>
      <c r="H196" s="3"/>
      <c r="I196" s="3"/>
      <c r="J196" s="14"/>
      <c r="K196" s="3">
        <v>2.29</v>
      </c>
      <c r="L196" s="3">
        <v>6428</v>
      </c>
      <c r="M196" s="17">
        <v>26.1</v>
      </c>
      <c r="N196" s="3">
        <v>114</v>
      </c>
      <c r="O196" s="3">
        <v>1.9497062500000004</v>
      </c>
      <c r="P196" s="14">
        <v>46</v>
      </c>
      <c r="Q196" s="3">
        <v>0.5</v>
      </c>
      <c r="R196" s="17"/>
      <c r="S196" s="3"/>
      <c r="T196" s="14"/>
      <c r="U196" s="3">
        <v>73.5</v>
      </c>
      <c r="V196" s="3">
        <v>0</v>
      </c>
    </row>
    <row r="197" spans="1:22" x14ac:dyDescent="0.3">
      <c r="A197" t="s">
        <v>141</v>
      </c>
      <c r="B197">
        <v>2026</v>
      </c>
      <c r="C197" t="s">
        <v>99</v>
      </c>
      <c r="D197" t="s">
        <v>57</v>
      </c>
      <c r="E197" s="5">
        <v>46046</v>
      </c>
      <c r="F197" s="5">
        <v>46075</v>
      </c>
      <c r="G197" s="10">
        <v>79</v>
      </c>
      <c r="K197">
        <v>2.39</v>
      </c>
      <c r="L197">
        <v>5606</v>
      </c>
      <c r="M197" s="18">
        <v>26.8</v>
      </c>
      <c r="N197">
        <v>84</v>
      </c>
      <c r="O197">
        <v>1.6984934259259268</v>
      </c>
      <c r="P197" s="15">
        <v>49</v>
      </c>
      <c r="Q197">
        <v>0.3</v>
      </c>
      <c r="U197">
        <v>89.5</v>
      </c>
      <c r="V197">
        <v>0</v>
      </c>
    </row>
    <row r="198" spans="1:22" x14ac:dyDescent="0.3">
      <c r="A198" s="3" t="s">
        <v>141</v>
      </c>
      <c r="B198" s="3">
        <v>2026</v>
      </c>
      <c r="C198" s="3" t="s">
        <v>78</v>
      </c>
      <c r="D198" s="3" t="s">
        <v>59</v>
      </c>
      <c r="E198" s="4">
        <v>46046</v>
      </c>
      <c r="F198" s="4">
        <v>46075</v>
      </c>
      <c r="G198" s="9">
        <v>70</v>
      </c>
      <c r="H198" s="3"/>
      <c r="I198" s="3"/>
      <c r="J198" s="14"/>
      <c r="K198" s="3">
        <v>2.4</v>
      </c>
      <c r="L198" s="3">
        <v>4812</v>
      </c>
      <c r="M198" s="17">
        <v>24.8</v>
      </c>
      <c r="N198" s="3">
        <v>77</v>
      </c>
      <c r="O198" s="3">
        <v>1.2348878703703694</v>
      </c>
      <c r="P198" s="14">
        <v>36</v>
      </c>
      <c r="Q198" s="3">
        <v>0.5</v>
      </c>
      <c r="R198" s="17"/>
      <c r="S198" s="3"/>
      <c r="T198" s="14"/>
      <c r="U198" s="3">
        <v>85</v>
      </c>
      <c r="V198" s="3">
        <v>0</v>
      </c>
    </row>
    <row r="199" spans="1:22" x14ac:dyDescent="0.3">
      <c r="A199" t="s">
        <v>141</v>
      </c>
      <c r="B199">
        <v>2026</v>
      </c>
      <c r="C199" t="s">
        <v>60</v>
      </c>
      <c r="D199" t="s">
        <v>61</v>
      </c>
      <c r="E199" s="5">
        <v>46046</v>
      </c>
      <c r="F199" s="5">
        <v>46075</v>
      </c>
      <c r="G199" s="10">
        <v>83</v>
      </c>
      <c r="K199">
        <v>2.7</v>
      </c>
      <c r="L199">
        <v>4998</v>
      </c>
      <c r="M199" s="18">
        <v>33.5</v>
      </c>
      <c r="N199">
        <v>82</v>
      </c>
      <c r="O199">
        <v>2.0456519097222219</v>
      </c>
      <c r="P199" s="15">
        <v>46</v>
      </c>
      <c r="Q199">
        <v>0.5</v>
      </c>
      <c r="U199">
        <v>76.5</v>
      </c>
      <c r="V199">
        <v>1</v>
      </c>
    </row>
    <row r="200" spans="1:22" x14ac:dyDescent="0.3">
      <c r="A200" s="3" t="s">
        <v>141</v>
      </c>
      <c r="B200" s="3">
        <v>2026</v>
      </c>
      <c r="C200" s="3" t="s">
        <v>62</v>
      </c>
      <c r="D200" s="3" t="s">
        <v>63</v>
      </c>
      <c r="E200" s="4">
        <v>46046</v>
      </c>
      <c r="F200" s="4">
        <v>46075</v>
      </c>
      <c r="G200" s="9">
        <v>93</v>
      </c>
      <c r="H200" s="3"/>
      <c r="I200" s="3"/>
      <c r="J200" s="14"/>
      <c r="K200" s="3">
        <v>2.2149999999999999</v>
      </c>
      <c r="L200" s="3">
        <v>5472</v>
      </c>
      <c r="M200" s="17">
        <v>34.85</v>
      </c>
      <c r="N200" s="3">
        <v>130</v>
      </c>
      <c r="O200" s="3">
        <v>2.3578631944444437</v>
      </c>
      <c r="P200" s="14">
        <v>46</v>
      </c>
      <c r="Q200" s="3">
        <v>0.1</v>
      </c>
      <c r="R200" s="17"/>
      <c r="S200" s="3"/>
      <c r="T200" s="14"/>
      <c r="U200" s="3">
        <v>81.5</v>
      </c>
      <c r="V200" s="3">
        <v>1</v>
      </c>
    </row>
    <row r="201" spans="1:22" x14ac:dyDescent="0.3">
      <c r="A201" t="s">
        <v>141</v>
      </c>
      <c r="B201">
        <v>2026</v>
      </c>
      <c r="C201" t="s">
        <v>65</v>
      </c>
      <c r="D201" t="s">
        <v>66</v>
      </c>
      <c r="E201" s="5">
        <v>46046</v>
      </c>
      <c r="F201" s="5">
        <v>46071</v>
      </c>
      <c r="G201" s="10">
        <v>74</v>
      </c>
      <c r="K201">
        <v>2.4300000000000002</v>
      </c>
      <c r="L201">
        <v>5432</v>
      </c>
      <c r="M201" s="18">
        <v>23.3</v>
      </c>
      <c r="N201">
        <v>76</v>
      </c>
      <c r="O201">
        <v>1.3374361805555546</v>
      </c>
      <c r="P201" s="15">
        <v>37</v>
      </c>
      <c r="Q201">
        <v>0.9</v>
      </c>
      <c r="U201">
        <v>72</v>
      </c>
      <c r="V201">
        <v>1</v>
      </c>
    </row>
    <row r="202" spans="1:22" x14ac:dyDescent="0.3">
      <c r="A202" s="3" t="s">
        <v>141</v>
      </c>
      <c r="B202" s="3">
        <v>2026</v>
      </c>
      <c r="C202" s="3" t="s">
        <v>67</v>
      </c>
      <c r="D202" s="3" t="s">
        <v>68</v>
      </c>
      <c r="E202" s="4">
        <v>46070</v>
      </c>
      <c r="F202" s="4">
        <v>46075</v>
      </c>
      <c r="G202" s="9">
        <v>87</v>
      </c>
      <c r="H202" s="3"/>
      <c r="I202" s="3"/>
      <c r="J202" s="14"/>
      <c r="K202" s="3">
        <v>2.11</v>
      </c>
      <c r="L202" s="3">
        <v>1538</v>
      </c>
      <c r="M202" s="17">
        <v>24.3</v>
      </c>
      <c r="N202" s="3">
        <v>23</v>
      </c>
      <c r="O202" s="3">
        <v>0.42126468750000073</v>
      </c>
      <c r="P202" s="14">
        <v>10</v>
      </c>
      <c r="Q202" s="3">
        <v>0.5</v>
      </c>
      <c r="R202" s="17"/>
      <c r="S202" s="3"/>
      <c r="T202" s="14"/>
      <c r="U202" s="3">
        <v>93.5</v>
      </c>
      <c r="V202" s="3">
        <v>0</v>
      </c>
    </row>
    <row r="203" spans="1:22" x14ac:dyDescent="0.3">
      <c r="A203" t="s">
        <v>141</v>
      </c>
      <c r="B203">
        <v>2026</v>
      </c>
      <c r="C203" t="s">
        <v>69</v>
      </c>
      <c r="D203" t="s">
        <v>68</v>
      </c>
      <c r="E203" s="5">
        <v>46046</v>
      </c>
      <c r="F203" s="5">
        <v>46069</v>
      </c>
      <c r="G203" s="10">
        <v>50</v>
      </c>
      <c r="K203">
        <v>2.39</v>
      </c>
      <c r="L203">
        <v>4387</v>
      </c>
      <c r="M203" s="18">
        <v>31.7</v>
      </c>
      <c r="N203">
        <v>92</v>
      </c>
      <c r="O203">
        <v>1.6773225810185197</v>
      </c>
      <c r="P203" s="15">
        <v>38</v>
      </c>
      <c r="Q203">
        <v>0.5</v>
      </c>
      <c r="U203">
        <v>60</v>
      </c>
      <c r="V203">
        <v>1</v>
      </c>
    </row>
    <row r="204" spans="1:22" x14ac:dyDescent="0.3">
      <c r="A204" s="3" t="s">
        <v>141</v>
      </c>
      <c r="B204" s="3">
        <v>2026</v>
      </c>
      <c r="C204" s="3" t="s">
        <v>70</v>
      </c>
      <c r="D204" s="3" t="s">
        <v>71</v>
      </c>
      <c r="E204" s="4">
        <v>46046</v>
      </c>
      <c r="F204" s="4">
        <v>46064</v>
      </c>
      <c r="G204" s="9">
        <v>74</v>
      </c>
      <c r="H204" s="3"/>
      <c r="I204" s="3"/>
      <c r="J204" s="14"/>
      <c r="K204" s="3">
        <v>2.3199999999999998</v>
      </c>
      <c r="L204" s="3">
        <v>3094</v>
      </c>
      <c r="M204" s="17">
        <v>18.600000000000001</v>
      </c>
      <c r="N204" s="3">
        <v>40</v>
      </c>
      <c r="O204" s="3">
        <v>0.6762499305555546</v>
      </c>
      <c r="P204" s="14">
        <v>27</v>
      </c>
      <c r="Q204" s="3">
        <v>1.5</v>
      </c>
      <c r="R204" s="17"/>
      <c r="S204" s="3"/>
      <c r="T204" s="14"/>
      <c r="U204" s="3">
        <v>57</v>
      </c>
      <c r="V204" s="3">
        <v>2</v>
      </c>
    </row>
    <row r="205" spans="1:22" x14ac:dyDescent="0.3">
      <c r="A205" t="s">
        <v>141</v>
      </c>
      <c r="B205">
        <v>2026</v>
      </c>
      <c r="C205" t="s">
        <v>70</v>
      </c>
      <c r="D205" t="s">
        <v>71</v>
      </c>
      <c r="E205" s="5">
        <v>46066</v>
      </c>
      <c r="F205" s="5">
        <v>46075</v>
      </c>
      <c r="G205" s="10">
        <v>76</v>
      </c>
      <c r="K205">
        <v>2.2050000000000001</v>
      </c>
      <c r="L205">
        <v>1241</v>
      </c>
      <c r="M205" s="18">
        <v>29.85</v>
      </c>
      <c r="N205">
        <v>17</v>
      </c>
      <c r="O205">
        <v>0.27133243055555573</v>
      </c>
      <c r="P205" s="15">
        <v>11</v>
      </c>
      <c r="Q205">
        <v>1.2</v>
      </c>
      <c r="U205">
        <v>73</v>
      </c>
      <c r="V205">
        <v>1</v>
      </c>
    </row>
    <row r="206" spans="1:22" x14ac:dyDescent="0.3">
      <c r="A206" s="3" t="s">
        <v>141</v>
      </c>
      <c r="B206" s="3">
        <v>2026</v>
      </c>
      <c r="C206" s="3" t="s">
        <v>87</v>
      </c>
      <c r="D206" s="3" t="s">
        <v>73</v>
      </c>
      <c r="E206" s="4">
        <v>46046</v>
      </c>
      <c r="F206" s="4">
        <v>46051</v>
      </c>
      <c r="G206" s="9">
        <v>79</v>
      </c>
      <c r="H206" s="3"/>
      <c r="I206" s="3"/>
      <c r="J206" s="14"/>
      <c r="K206" s="3">
        <v>2.79</v>
      </c>
      <c r="L206" s="3">
        <v>835</v>
      </c>
      <c r="M206" s="17">
        <v>28.9</v>
      </c>
      <c r="N206" s="3">
        <v>18</v>
      </c>
      <c r="O206" s="3">
        <v>0.28390236111111106</v>
      </c>
      <c r="P206" s="14">
        <v>10</v>
      </c>
      <c r="Q206" s="3">
        <v>0.1</v>
      </c>
      <c r="R206" s="17"/>
      <c r="S206" s="3"/>
      <c r="T206" s="14"/>
      <c r="U206" s="3">
        <v>89.5</v>
      </c>
      <c r="V206" s="3">
        <v>0</v>
      </c>
    </row>
    <row r="207" spans="1:22" x14ac:dyDescent="0.3">
      <c r="A207" t="s">
        <v>141</v>
      </c>
      <c r="B207">
        <v>2026</v>
      </c>
      <c r="C207" t="s">
        <v>72</v>
      </c>
      <c r="D207" t="s">
        <v>73</v>
      </c>
      <c r="E207" s="5">
        <v>46052</v>
      </c>
      <c r="F207" s="5">
        <v>46075</v>
      </c>
      <c r="G207" s="10">
        <v>78</v>
      </c>
      <c r="K207">
        <v>2.15</v>
      </c>
      <c r="L207">
        <v>4303</v>
      </c>
      <c r="M207" s="18">
        <v>26.2</v>
      </c>
      <c r="N207">
        <v>85</v>
      </c>
      <c r="O207">
        <v>1.3065551851851849</v>
      </c>
      <c r="P207" s="15">
        <v>36</v>
      </c>
      <c r="Q207">
        <v>1.2</v>
      </c>
      <c r="U207">
        <v>74</v>
      </c>
      <c r="V207">
        <v>1</v>
      </c>
    </row>
    <row r="208" spans="1:22" x14ac:dyDescent="0.3">
      <c r="A208" s="3" t="s">
        <v>141</v>
      </c>
      <c r="B208" s="3">
        <v>2026</v>
      </c>
      <c r="C208" s="3" t="s">
        <v>133</v>
      </c>
      <c r="D208" s="3" t="s">
        <v>75</v>
      </c>
      <c r="E208" s="4">
        <v>46046</v>
      </c>
      <c r="F208" s="4">
        <v>46075</v>
      </c>
      <c r="G208" s="9">
        <v>79</v>
      </c>
      <c r="H208" s="3"/>
      <c r="I208" s="3"/>
      <c r="J208" s="14"/>
      <c r="K208" s="3">
        <v>2.4400000000000004</v>
      </c>
      <c r="L208" s="3">
        <v>5870</v>
      </c>
      <c r="M208" s="17">
        <v>30.25</v>
      </c>
      <c r="N208" s="3">
        <v>108</v>
      </c>
      <c r="O208" s="3">
        <v>2.1978551388888885</v>
      </c>
      <c r="P208" s="14">
        <v>54</v>
      </c>
      <c r="Q208" s="3">
        <v>0.4</v>
      </c>
      <c r="R208" s="17"/>
      <c r="S208" s="3"/>
      <c r="T208" s="14"/>
      <c r="U208" s="3">
        <v>89.5</v>
      </c>
      <c r="V208" s="3">
        <v>0</v>
      </c>
    </row>
    <row r="209" spans="1:22" x14ac:dyDescent="0.3">
      <c r="A209" t="s">
        <v>141</v>
      </c>
      <c r="B209">
        <v>2026</v>
      </c>
      <c r="C209" t="s">
        <v>76</v>
      </c>
      <c r="D209" t="s">
        <v>77</v>
      </c>
      <c r="E209" s="5">
        <v>46050</v>
      </c>
      <c r="F209" s="5">
        <v>46075</v>
      </c>
      <c r="G209" s="10">
        <v>55</v>
      </c>
      <c r="K209">
        <v>2.37</v>
      </c>
      <c r="L209">
        <v>6588</v>
      </c>
      <c r="M209" s="18">
        <v>23.6</v>
      </c>
      <c r="N209">
        <v>101</v>
      </c>
      <c r="O209">
        <v>1.7429310185185196</v>
      </c>
      <c r="P209" s="15">
        <v>26</v>
      </c>
      <c r="Q209">
        <v>1.5</v>
      </c>
      <c r="U209">
        <v>17.5</v>
      </c>
      <c r="V209">
        <v>4</v>
      </c>
    </row>
    <row r="210" spans="1:22" x14ac:dyDescent="0.3">
      <c r="A210" s="3" t="s">
        <v>141</v>
      </c>
      <c r="B210" s="3">
        <v>2026</v>
      </c>
      <c r="C210" s="3" t="s">
        <v>43</v>
      </c>
      <c r="D210" s="3" t="s">
        <v>79</v>
      </c>
      <c r="E210" s="4">
        <v>46070</v>
      </c>
      <c r="F210" s="4">
        <v>46075</v>
      </c>
      <c r="G210" s="9">
        <v>67</v>
      </c>
      <c r="H210" s="3"/>
      <c r="I210" s="3"/>
      <c r="J210" s="14"/>
      <c r="K210" s="3">
        <v>2.42</v>
      </c>
      <c r="L210" s="3">
        <v>1226</v>
      </c>
      <c r="M210" s="17">
        <v>35.4</v>
      </c>
      <c r="N210" s="3">
        <v>22</v>
      </c>
      <c r="O210" s="3">
        <v>0.4188180555555549</v>
      </c>
      <c r="P210" s="14">
        <v>14</v>
      </c>
      <c r="Q210" s="3">
        <v>1.4</v>
      </c>
      <c r="R210" s="17"/>
      <c r="S210" s="3"/>
      <c r="T210" s="14"/>
      <c r="U210" s="3">
        <v>53.5</v>
      </c>
      <c r="V210" s="3">
        <v>2</v>
      </c>
    </row>
    <row r="211" spans="1:22" x14ac:dyDescent="0.3">
      <c r="A211" t="s">
        <v>141</v>
      </c>
      <c r="B211">
        <v>2026</v>
      </c>
      <c r="C211" t="s">
        <v>143</v>
      </c>
      <c r="D211" t="s">
        <v>79</v>
      </c>
      <c r="E211" s="5">
        <v>46046</v>
      </c>
      <c r="F211" s="5">
        <v>46069</v>
      </c>
      <c r="G211" s="10">
        <v>74</v>
      </c>
      <c r="K211">
        <v>2.31</v>
      </c>
      <c r="L211">
        <v>4000</v>
      </c>
      <c r="M211" s="18">
        <v>39.5</v>
      </c>
      <c r="N211">
        <v>115</v>
      </c>
      <c r="O211">
        <v>2.0265145833333347</v>
      </c>
      <c r="P211" s="15">
        <v>33</v>
      </c>
      <c r="Q211">
        <v>0.3</v>
      </c>
      <c r="U211">
        <v>57</v>
      </c>
      <c r="V211">
        <v>2</v>
      </c>
    </row>
    <row r="212" spans="1:22" x14ac:dyDescent="0.3">
      <c r="A212" s="3" t="s">
        <v>141</v>
      </c>
      <c r="B212" s="3">
        <v>2026</v>
      </c>
      <c r="C212" s="3" t="s">
        <v>80</v>
      </c>
      <c r="D212" s="3" t="s">
        <v>81</v>
      </c>
      <c r="E212" s="4">
        <v>46046</v>
      </c>
      <c r="F212" s="4">
        <v>46075</v>
      </c>
      <c r="G212" s="9">
        <v>64</v>
      </c>
      <c r="H212" s="3"/>
      <c r="I212" s="3"/>
      <c r="J212" s="14"/>
      <c r="K212" s="3">
        <v>2.5</v>
      </c>
      <c r="L212" s="3">
        <v>5262</v>
      </c>
      <c r="M212" s="17">
        <v>21.1</v>
      </c>
      <c r="N212" s="3">
        <v>54</v>
      </c>
      <c r="O212" s="3">
        <v>1.0526067129629635</v>
      </c>
      <c r="P212" s="14">
        <v>46</v>
      </c>
      <c r="Q212" s="3">
        <v>0.5</v>
      </c>
      <c r="R212" s="17"/>
      <c r="S212" s="3"/>
      <c r="T212" s="14"/>
      <c r="U212" s="3">
        <v>82</v>
      </c>
      <c r="V212" s="3">
        <v>0</v>
      </c>
    </row>
    <row r="213" spans="1:22" x14ac:dyDescent="0.3">
      <c r="A213" t="s">
        <v>141</v>
      </c>
      <c r="B213">
        <v>2026</v>
      </c>
      <c r="C213" t="s">
        <v>84</v>
      </c>
      <c r="D213" t="s">
        <v>83</v>
      </c>
      <c r="E213" s="5">
        <v>46046</v>
      </c>
      <c r="F213" s="5">
        <v>46075</v>
      </c>
      <c r="G213" s="10">
        <v>87</v>
      </c>
      <c r="K213">
        <v>2.37</v>
      </c>
      <c r="L213">
        <v>5819</v>
      </c>
      <c r="M213" s="18">
        <v>19.600000000000001</v>
      </c>
      <c r="N213">
        <v>54</v>
      </c>
      <c r="O213">
        <v>1.1869524074074076</v>
      </c>
      <c r="P213" s="15">
        <v>52</v>
      </c>
      <c r="Q213">
        <v>0.9</v>
      </c>
      <c r="U213">
        <v>78.5</v>
      </c>
      <c r="V213">
        <v>1</v>
      </c>
    </row>
    <row r="214" spans="1:22" x14ac:dyDescent="0.3">
      <c r="A214" s="3" t="s">
        <v>141</v>
      </c>
      <c r="B214" s="3">
        <v>2026</v>
      </c>
      <c r="C214" s="3" t="s">
        <v>85</v>
      </c>
      <c r="D214" s="3" t="s">
        <v>86</v>
      </c>
      <c r="E214" s="4">
        <v>46046</v>
      </c>
      <c r="F214" s="4">
        <v>46075</v>
      </c>
      <c r="G214" s="9">
        <v>76</v>
      </c>
      <c r="H214" s="3"/>
      <c r="I214" s="3"/>
      <c r="J214" s="14"/>
      <c r="K214" s="3">
        <v>2.4700000000000002</v>
      </c>
      <c r="L214" s="3">
        <v>6427</v>
      </c>
      <c r="M214" s="17">
        <v>28.9</v>
      </c>
      <c r="N214" s="3">
        <v>100</v>
      </c>
      <c r="O214" s="3">
        <v>1.9709733101851845</v>
      </c>
      <c r="P214" s="14">
        <v>47</v>
      </c>
      <c r="Q214" s="3">
        <v>0.4</v>
      </c>
      <c r="R214" s="17"/>
      <c r="S214" s="3"/>
      <c r="T214" s="14"/>
      <c r="U214" s="3">
        <v>88</v>
      </c>
      <c r="V214" s="3">
        <v>0</v>
      </c>
    </row>
    <row r="215" spans="1:22" x14ac:dyDescent="0.3">
      <c r="A215" t="s">
        <v>141</v>
      </c>
      <c r="B215">
        <v>2026</v>
      </c>
      <c r="C215" t="s">
        <v>87</v>
      </c>
      <c r="D215" t="s">
        <v>88</v>
      </c>
      <c r="E215" s="5">
        <v>46052</v>
      </c>
      <c r="F215" s="5">
        <v>46075</v>
      </c>
      <c r="G215" s="10">
        <v>71</v>
      </c>
      <c r="K215">
        <v>2.5099999999999998</v>
      </c>
      <c r="L215">
        <v>4446</v>
      </c>
      <c r="M215" s="18">
        <v>19.100000000000001</v>
      </c>
      <c r="N215">
        <v>46</v>
      </c>
      <c r="O215">
        <v>0.77562358796296271</v>
      </c>
      <c r="P215" s="15">
        <v>32</v>
      </c>
      <c r="Q215">
        <v>0.9</v>
      </c>
      <c r="U215">
        <v>70.5</v>
      </c>
      <c r="V215">
        <v>1</v>
      </c>
    </row>
    <row r="216" spans="1:22" x14ac:dyDescent="0.3">
      <c r="A216" s="3" t="s">
        <v>141</v>
      </c>
      <c r="B216" s="3">
        <v>2026</v>
      </c>
      <c r="C216" s="3" t="s">
        <v>72</v>
      </c>
      <c r="D216" s="3" t="s">
        <v>88</v>
      </c>
      <c r="E216" s="4">
        <v>46046</v>
      </c>
      <c r="F216" s="4">
        <v>46051</v>
      </c>
      <c r="G216" s="9">
        <v>66</v>
      </c>
      <c r="H216" s="3"/>
      <c r="I216" s="3"/>
      <c r="J216" s="14"/>
      <c r="K216" s="3">
        <v>2.25</v>
      </c>
      <c r="L216" s="3">
        <v>900</v>
      </c>
      <c r="M216" s="17">
        <v>30.1</v>
      </c>
      <c r="N216" s="3">
        <v>25</v>
      </c>
      <c r="O216" s="3">
        <v>0.27287182870370374</v>
      </c>
      <c r="P216" s="14">
        <v>9</v>
      </c>
      <c r="Q216" s="3">
        <v>0.5</v>
      </c>
      <c r="R216" s="17"/>
      <c r="S216" s="3"/>
      <c r="T216" s="14"/>
      <c r="U216" s="3">
        <v>83</v>
      </c>
      <c r="V216" s="3">
        <v>0</v>
      </c>
    </row>
    <row r="217" spans="1:22" x14ac:dyDescent="0.3">
      <c r="A217" t="s">
        <v>141</v>
      </c>
      <c r="B217">
        <v>2026</v>
      </c>
      <c r="C217" t="s">
        <v>67</v>
      </c>
      <c r="D217" t="s">
        <v>89</v>
      </c>
      <c r="E217" s="5">
        <v>46046</v>
      </c>
      <c r="F217" s="5">
        <v>46069</v>
      </c>
      <c r="G217" s="10">
        <v>70</v>
      </c>
      <c r="K217">
        <v>2.4449999999999998</v>
      </c>
      <c r="L217">
        <v>6783</v>
      </c>
      <c r="M217" s="18">
        <v>23.75</v>
      </c>
      <c r="N217">
        <v>103</v>
      </c>
      <c r="O217">
        <v>1.704821585648147</v>
      </c>
      <c r="P217" s="15">
        <v>30</v>
      </c>
      <c r="Q217">
        <v>0.89999999999999991</v>
      </c>
      <c r="U217">
        <v>55</v>
      </c>
      <c r="V217">
        <v>2</v>
      </c>
    </row>
    <row r="218" spans="1:22" x14ac:dyDescent="0.3">
      <c r="A218" s="3" t="s">
        <v>141</v>
      </c>
      <c r="B218" s="3">
        <v>2026</v>
      </c>
      <c r="C218" s="3" t="s">
        <v>69</v>
      </c>
      <c r="D218" s="3" t="s">
        <v>89</v>
      </c>
      <c r="E218" s="4">
        <v>46070</v>
      </c>
      <c r="F218" s="4">
        <v>46075</v>
      </c>
      <c r="G218" s="9">
        <v>74</v>
      </c>
      <c r="H218" s="3"/>
      <c r="I218" s="3"/>
      <c r="J218" s="14"/>
      <c r="K218" s="3">
        <v>2.0699999999999998</v>
      </c>
      <c r="L218" s="3">
        <v>874</v>
      </c>
      <c r="M218" s="17">
        <v>23.2</v>
      </c>
      <c r="N218" s="3">
        <v>13</v>
      </c>
      <c r="O218" s="3">
        <v>0.22557972222222225</v>
      </c>
      <c r="P218" s="14">
        <v>15</v>
      </c>
      <c r="Q218" s="3">
        <v>1.8</v>
      </c>
      <c r="R218" s="17"/>
      <c r="S218" s="3"/>
      <c r="T218" s="14"/>
      <c r="U218" s="3">
        <v>57</v>
      </c>
      <c r="V218" s="3">
        <v>2</v>
      </c>
    </row>
    <row r="219" spans="1:22" x14ac:dyDescent="0.3">
      <c r="A219" t="s">
        <v>141</v>
      </c>
      <c r="B219">
        <v>2026</v>
      </c>
      <c r="C219" t="s">
        <v>90</v>
      </c>
      <c r="D219" t="s">
        <v>91</v>
      </c>
      <c r="E219" s="5">
        <v>46046</v>
      </c>
      <c r="F219" s="5">
        <v>46075</v>
      </c>
      <c r="G219" s="10">
        <v>75</v>
      </c>
      <c r="K219">
        <v>2.57</v>
      </c>
      <c r="L219">
        <v>5083</v>
      </c>
      <c r="M219" s="18">
        <v>21.5</v>
      </c>
      <c r="N219">
        <v>57</v>
      </c>
      <c r="O219">
        <v>1.1273116898148159</v>
      </c>
      <c r="P219" s="15">
        <v>41</v>
      </c>
      <c r="Q219">
        <v>0.5</v>
      </c>
      <c r="U219">
        <v>87.5</v>
      </c>
      <c r="V219">
        <v>0</v>
      </c>
    </row>
    <row r="220" spans="1:22" x14ac:dyDescent="0.3">
      <c r="A220" s="3" t="s">
        <v>141</v>
      </c>
      <c r="B220" s="3">
        <v>2026</v>
      </c>
      <c r="C220" s="3" t="s">
        <v>92</v>
      </c>
      <c r="D220" s="3" t="s">
        <v>93</v>
      </c>
      <c r="E220" s="4">
        <v>46046</v>
      </c>
      <c r="F220" s="4">
        <v>46075</v>
      </c>
      <c r="G220" s="9">
        <v>81</v>
      </c>
      <c r="H220" s="3"/>
      <c r="I220" s="3"/>
      <c r="J220" s="14"/>
      <c r="K220" s="3">
        <v>2.33</v>
      </c>
      <c r="L220" s="3">
        <v>5226</v>
      </c>
      <c r="M220" s="17">
        <v>19.2</v>
      </c>
      <c r="N220" s="3">
        <v>66</v>
      </c>
      <c r="O220" s="3">
        <v>1.0857288888888883</v>
      </c>
      <c r="P220" s="14">
        <v>34</v>
      </c>
      <c r="Q220" s="3">
        <v>1.1000000000000001</v>
      </c>
      <c r="R220" s="17"/>
      <c r="S220" s="3"/>
      <c r="T220" s="14"/>
      <c r="U220" s="3">
        <v>75.5</v>
      </c>
      <c r="V220" s="3">
        <v>1</v>
      </c>
    </row>
    <row r="221" spans="1:22" x14ac:dyDescent="0.3">
      <c r="A221" t="s">
        <v>141</v>
      </c>
      <c r="B221">
        <v>2026</v>
      </c>
      <c r="C221" t="s">
        <v>64</v>
      </c>
      <c r="D221" t="s">
        <v>94</v>
      </c>
      <c r="E221" s="5">
        <v>46046</v>
      </c>
      <c r="F221" s="5">
        <v>46075</v>
      </c>
      <c r="G221" s="10">
        <v>82</v>
      </c>
      <c r="K221">
        <v>2.54</v>
      </c>
      <c r="L221">
        <v>6383</v>
      </c>
      <c r="M221" s="18">
        <v>15.8</v>
      </c>
      <c r="N221">
        <v>52</v>
      </c>
      <c r="O221">
        <v>0.92666451388888926</v>
      </c>
      <c r="P221" s="15">
        <v>41</v>
      </c>
      <c r="Q221">
        <v>0.5</v>
      </c>
      <c r="U221">
        <v>91</v>
      </c>
      <c r="V221">
        <v>0</v>
      </c>
    </row>
    <row r="222" spans="1:22" x14ac:dyDescent="0.3">
      <c r="A222" s="3" t="s">
        <v>141</v>
      </c>
      <c r="B222" s="3">
        <v>2026</v>
      </c>
      <c r="C222" s="3" t="s">
        <v>82</v>
      </c>
      <c r="D222" s="3" t="s">
        <v>95</v>
      </c>
      <c r="E222" s="4">
        <v>46046</v>
      </c>
      <c r="F222" s="4">
        <v>46075</v>
      </c>
      <c r="G222" s="9">
        <v>85</v>
      </c>
      <c r="H222" s="3"/>
      <c r="I222" s="3"/>
      <c r="J222" s="14"/>
      <c r="K222" s="3">
        <v>2.96</v>
      </c>
      <c r="L222" s="3">
        <v>4180</v>
      </c>
      <c r="M222" s="17">
        <v>18.899999999999999</v>
      </c>
      <c r="N222" s="3">
        <v>40</v>
      </c>
      <c r="O222" s="3">
        <v>0.74297562499999936</v>
      </c>
      <c r="P222" s="14">
        <v>41</v>
      </c>
      <c r="Q222" s="3">
        <v>0.4</v>
      </c>
      <c r="R222" s="17"/>
      <c r="S222" s="3"/>
      <c r="T222" s="14"/>
      <c r="U222" s="3">
        <v>92.5</v>
      </c>
      <c r="V222" s="3">
        <v>0</v>
      </c>
    </row>
    <row r="223" spans="1:22" x14ac:dyDescent="0.3">
      <c r="A223" t="s">
        <v>141</v>
      </c>
      <c r="B223">
        <v>2026</v>
      </c>
      <c r="C223" t="s">
        <v>98</v>
      </c>
      <c r="D223" t="s">
        <v>97</v>
      </c>
      <c r="E223" s="5">
        <v>46046</v>
      </c>
      <c r="F223" s="5">
        <v>46075</v>
      </c>
      <c r="G223" s="10">
        <v>73</v>
      </c>
      <c r="K223">
        <v>2.2599999999999998</v>
      </c>
      <c r="L223">
        <v>5666</v>
      </c>
      <c r="M223" s="18">
        <v>27.1</v>
      </c>
      <c r="N223">
        <v>104</v>
      </c>
      <c r="O223">
        <v>1.7821951157407405</v>
      </c>
      <c r="P223" s="15">
        <v>44</v>
      </c>
      <c r="Q223">
        <v>0.5</v>
      </c>
      <c r="U223">
        <v>86.5</v>
      </c>
      <c r="V223">
        <v>0</v>
      </c>
    </row>
    <row r="224" spans="1:22" x14ac:dyDescent="0.3">
      <c r="A224" s="3" t="s">
        <v>141</v>
      </c>
      <c r="B224" s="3">
        <v>2026</v>
      </c>
      <c r="C224" s="3" t="s">
        <v>134</v>
      </c>
      <c r="D224" s="3" t="s">
        <v>100</v>
      </c>
      <c r="E224" s="4">
        <v>46046</v>
      </c>
      <c r="F224" s="4">
        <v>46073</v>
      </c>
      <c r="G224" s="9">
        <v>62</v>
      </c>
      <c r="H224" s="3"/>
      <c r="I224" s="3"/>
      <c r="J224" s="14"/>
      <c r="K224" s="3">
        <v>2.5499999999999998</v>
      </c>
      <c r="L224" s="3">
        <v>4164</v>
      </c>
      <c r="M224" s="17">
        <v>17.8</v>
      </c>
      <c r="N224" s="3">
        <v>43</v>
      </c>
      <c r="O224" s="3">
        <v>0.7412896527777777</v>
      </c>
      <c r="P224" s="14">
        <v>43</v>
      </c>
      <c r="Q224" s="3">
        <v>2.5</v>
      </c>
      <c r="R224" s="17"/>
      <c r="S224" s="3"/>
      <c r="T224" s="14"/>
      <c r="U224" s="3">
        <v>36</v>
      </c>
      <c r="V224" s="3">
        <v>3</v>
      </c>
    </row>
    <row r="225" spans="1:22" x14ac:dyDescent="0.3">
      <c r="A225" t="s">
        <v>141</v>
      </c>
      <c r="B225">
        <v>2026</v>
      </c>
      <c r="C225" t="s">
        <v>101</v>
      </c>
      <c r="D225" t="s">
        <v>102</v>
      </c>
      <c r="E225" s="5">
        <v>46046</v>
      </c>
      <c r="F225" s="5">
        <v>46075</v>
      </c>
      <c r="G225" s="10">
        <v>78</v>
      </c>
      <c r="K225">
        <v>2.5</v>
      </c>
      <c r="L225">
        <v>3745</v>
      </c>
      <c r="M225" s="18">
        <v>24.9</v>
      </c>
      <c r="N225">
        <v>66</v>
      </c>
      <c r="O225">
        <v>1.0156375694444442</v>
      </c>
      <c r="P225" s="15">
        <v>42</v>
      </c>
      <c r="Q225">
        <v>0</v>
      </c>
      <c r="U225">
        <v>89</v>
      </c>
      <c r="V225">
        <v>0</v>
      </c>
    </row>
    <row r="226" spans="1:22" x14ac:dyDescent="0.3">
      <c r="A226" s="3" t="s">
        <v>141</v>
      </c>
      <c r="B226" s="3">
        <v>2026</v>
      </c>
      <c r="C226" s="3" t="s">
        <v>103</v>
      </c>
      <c r="D226" s="3" t="s">
        <v>104</v>
      </c>
      <c r="E226" s="4">
        <v>46046</v>
      </c>
      <c r="F226" s="4">
        <v>46075</v>
      </c>
      <c r="G226" s="9">
        <v>88</v>
      </c>
      <c r="H226" s="3"/>
      <c r="I226" s="3"/>
      <c r="J226" s="14"/>
      <c r="K226" s="3">
        <v>2.2200000000000002</v>
      </c>
      <c r="L226" s="3">
        <v>4055</v>
      </c>
      <c r="M226" s="17">
        <v>25.7</v>
      </c>
      <c r="N226" s="3">
        <v>59</v>
      </c>
      <c r="O226" s="3">
        <v>1.0391991319444447</v>
      </c>
      <c r="P226" s="14">
        <v>39</v>
      </c>
      <c r="Q226" s="3">
        <v>0.3</v>
      </c>
      <c r="R226" s="17"/>
      <c r="S226" s="3"/>
      <c r="T226" s="14"/>
      <c r="U226" s="3">
        <v>94</v>
      </c>
      <c r="V226" s="3">
        <v>0</v>
      </c>
    </row>
    <row r="227" spans="1:22" x14ac:dyDescent="0.3">
      <c r="A227" t="s">
        <v>141</v>
      </c>
      <c r="B227">
        <v>2026</v>
      </c>
      <c r="C227" t="s">
        <v>96</v>
      </c>
      <c r="D227" t="s">
        <v>105</v>
      </c>
      <c r="E227" s="5">
        <v>46046</v>
      </c>
      <c r="F227" s="5">
        <v>46075</v>
      </c>
      <c r="G227" s="10">
        <v>66</v>
      </c>
      <c r="K227">
        <v>2.33</v>
      </c>
      <c r="L227">
        <v>5837</v>
      </c>
      <c r="M227" s="18">
        <v>27.3</v>
      </c>
      <c r="N227">
        <v>99</v>
      </c>
      <c r="O227">
        <v>1.8743093055555551</v>
      </c>
      <c r="P227" s="15">
        <v>37</v>
      </c>
      <c r="Q227">
        <v>0.3</v>
      </c>
      <c r="U227">
        <v>68</v>
      </c>
      <c r="V227">
        <v>1</v>
      </c>
    </row>
    <row r="228" spans="1:22" x14ac:dyDescent="0.3">
      <c r="A228" s="3" t="s">
        <v>141</v>
      </c>
      <c r="B228" s="3">
        <v>2026</v>
      </c>
      <c r="C228" s="3" t="s">
        <v>106</v>
      </c>
      <c r="D228" s="3" t="s">
        <v>107</v>
      </c>
      <c r="E228" s="4">
        <v>46046</v>
      </c>
      <c r="F228" s="4">
        <v>46073</v>
      </c>
      <c r="G228" s="9">
        <v>71</v>
      </c>
      <c r="H228" s="3"/>
      <c r="I228" s="3"/>
      <c r="J228" s="14"/>
      <c r="K228" s="3">
        <v>2.46</v>
      </c>
      <c r="L228" s="3">
        <v>4739</v>
      </c>
      <c r="M228" s="17">
        <v>33.299999999999997</v>
      </c>
      <c r="N228" s="3">
        <v>87</v>
      </c>
      <c r="O228" s="3">
        <v>1.7844213541666682</v>
      </c>
      <c r="P228" s="14">
        <v>36</v>
      </c>
      <c r="Q228" s="3">
        <v>1.4</v>
      </c>
      <c r="R228" s="17"/>
      <c r="S228" s="3"/>
      <c r="T228" s="14"/>
      <c r="U228" s="3">
        <v>40.5</v>
      </c>
      <c r="V228" s="3">
        <v>3</v>
      </c>
    </row>
    <row r="229" spans="1:22" x14ac:dyDescent="0.3">
      <c r="A229" t="s">
        <v>141</v>
      </c>
      <c r="B229">
        <v>2026</v>
      </c>
      <c r="C229" t="s">
        <v>108</v>
      </c>
      <c r="D229" t="s">
        <v>109</v>
      </c>
      <c r="E229" s="5">
        <v>46046</v>
      </c>
      <c r="F229" s="5">
        <v>46075</v>
      </c>
      <c r="G229" s="10">
        <v>76</v>
      </c>
      <c r="K229">
        <v>2.605</v>
      </c>
      <c r="L229">
        <v>6473</v>
      </c>
      <c r="M229" s="18">
        <v>25.15</v>
      </c>
      <c r="N229">
        <v>77</v>
      </c>
      <c r="O229">
        <v>1.8050863888888884</v>
      </c>
      <c r="P229" s="15">
        <v>36</v>
      </c>
      <c r="Q229">
        <v>0.35</v>
      </c>
      <c r="U229">
        <v>73</v>
      </c>
      <c r="V229">
        <v>1</v>
      </c>
    </row>
    <row r="230" spans="1:22" x14ac:dyDescent="0.3">
      <c r="A230" s="3" t="s">
        <v>141</v>
      </c>
      <c r="B230" s="3">
        <v>2026</v>
      </c>
      <c r="C230" s="3" t="s">
        <v>115</v>
      </c>
      <c r="D230" s="3" t="s">
        <v>111</v>
      </c>
      <c r="E230" s="4">
        <v>46052</v>
      </c>
      <c r="F230" s="4">
        <v>46075</v>
      </c>
      <c r="G230" s="9"/>
      <c r="H230" s="3"/>
      <c r="I230" s="3"/>
      <c r="J230" s="14"/>
      <c r="K230" s="3"/>
      <c r="L230" s="3"/>
      <c r="M230" s="17"/>
      <c r="N230" s="3"/>
      <c r="O230" s="3"/>
      <c r="P230" s="14"/>
      <c r="Q230" s="3"/>
      <c r="R230" s="17"/>
      <c r="S230" s="3"/>
      <c r="T230" s="14"/>
      <c r="U230" s="3"/>
      <c r="V230" s="3"/>
    </row>
    <row r="231" spans="1:22" x14ac:dyDescent="0.3">
      <c r="A231" t="s">
        <v>141</v>
      </c>
      <c r="B231">
        <v>2026</v>
      </c>
      <c r="C231" t="s">
        <v>113</v>
      </c>
      <c r="D231" t="s">
        <v>114</v>
      </c>
      <c r="E231" s="5">
        <v>46046</v>
      </c>
      <c r="F231" s="5">
        <v>46075</v>
      </c>
      <c r="G231" s="10">
        <v>86</v>
      </c>
      <c r="K231">
        <v>2.35</v>
      </c>
      <c r="L231">
        <v>5063</v>
      </c>
      <c r="M231" s="18">
        <v>13.149999999999999</v>
      </c>
      <c r="N231">
        <v>49</v>
      </c>
      <c r="O231">
        <v>0.6785374074074072</v>
      </c>
      <c r="P231" s="15">
        <v>40</v>
      </c>
      <c r="Q231">
        <v>0.1</v>
      </c>
      <c r="U231">
        <v>93</v>
      </c>
      <c r="V231">
        <v>0</v>
      </c>
    </row>
    <row r="232" spans="1:22" x14ac:dyDescent="0.3">
      <c r="A232" s="3" t="s">
        <v>141</v>
      </c>
      <c r="B232" s="3">
        <v>2026</v>
      </c>
      <c r="C232" s="3" t="s">
        <v>115</v>
      </c>
      <c r="D232" s="3" t="s">
        <v>111</v>
      </c>
      <c r="E232" s="4">
        <v>46052</v>
      </c>
      <c r="F232" s="4">
        <v>46075</v>
      </c>
      <c r="G232" s="9">
        <v>79</v>
      </c>
      <c r="H232" s="3"/>
      <c r="I232" s="3"/>
      <c r="J232" s="14"/>
      <c r="K232" s="3">
        <v>4.9800000000000004</v>
      </c>
      <c r="L232" s="3">
        <v>1277</v>
      </c>
      <c r="M232" s="17">
        <v>12.8</v>
      </c>
      <c r="N232" s="3">
        <v>8</v>
      </c>
      <c r="O232" s="3">
        <v>0.12321925925925926</v>
      </c>
      <c r="P232" s="14">
        <v>34</v>
      </c>
      <c r="Q232" s="3">
        <v>0</v>
      </c>
      <c r="R232" s="17"/>
      <c r="S232" s="3"/>
      <c r="T232" s="14"/>
      <c r="U232" s="3">
        <v>89.5</v>
      </c>
      <c r="V232" s="3">
        <v>0</v>
      </c>
    </row>
    <row r="233" spans="1:22" x14ac:dyDescent="0.3">
      <c r="A233" t="s">
        <v>141</v>
      </c>
      <c r="B233">
        <v>2026</v>
      </c>
      <c r="C233" t="s">
        <v>121</v>
      </c>
      <c r="D233" t="s">
        <v>116</v>
      </c>
      <c r="E233" s="5">
        <v>46046</v>
      </c>
      <c r="F233" s="5">
        <v>46075</v>
      </c>
      <c r="G233" s="10">
        <v>64</v>
      </c>
      <c r="K233">
        <v>2.71</v>
      </c>
      <c r="L233">
        <v>1181</v>
      </c>
      <c r="M233" s="18">
        <v>30.8</v>
      </c>
      <c r="N233">
        <v>29</v>
      </c>
      <c r="O233">
        <v>0.49310300925926043</v>
      </c>
      <c r="P233" s="15">
        <v>37</v>
      </c>
      <c r="Q233">
        <v>0.9</v>
      </c>
      <c r="U233">
        <v>67</v>
      </c>
      <c r="V233">
        <v>1</v>
      </c>
    </row>
    <row r="234" spans="1:22" x14ac:dyDescent="0.3">
      <c r="A234" s="3" t="s">
        <v>141</v>
      </c>
      <c r="B234" s="3">
        <v>2026</v>
      </c>
      <c r="C234" s="3" t="s">
        <v>117</v>
      </c>
      <c r="D234" s="3" t="s">
        <v>119</v>
      </c>
      <c r="E234" s="4">
        <v>46046</v>
      </c>
      <c r="F234" s="4">
        <v>46075</v>
      </c>
      <c r="G234" s="9">
        <v>62</v>
      </c>
      <c r="H234" s="3"/>
      <c r="I234" s="3"/>
      <c r="J234" s="14"/>
      <c r="K234" s="3">
        <v>2.2949999999999999</v>
      </c>
      <c r="L234" s="3">
        <v>4449</v>
      </c>
      <c r="M234" s="17">
        <v>19.600000000000001</v>
      </c>
      <c r="N234" s="3">
        <v>56</v>
      </c>
      <c r="O234" s="3">
        <v>1.0107024074074071</v>
      </c>
      <c r="P234" s="14">
        <v>51</v>
      </c>
      <c r="Q234" s="3">
        <v>0.44999999999999996</v>
      </c>
      <c r="R234" s="17"/>
      <c r="S234" s="3"/>
      <c r="T234" s="14"/>
      <c r="U234" s="3">
        <v>81</v>
      </c>
      <c r="V234" s="3">
        <v>0</v>
      </c>
    </row>
    <row r="235" spans="1:22" x14ac:dyDescent="0.3">
      <c r="A235" t="s">
        <v>141</v>
      </c>
      <c r="B235">
        <v>2026</v>
      </c>
      <c r="C235" t="s">
        <v>118</v>
      </c>
      <c r="D235" t="s">
        <v>120</v>
      </c>
      <c r="E235" s="5">
        <v>46046</v>
      </c>
      <c r="F235" s="5">
        <v>46075</v>
      </c>
      <c r="G235" s="10">
        <v>40</v>
      </c>
      <c r="K235">
        <v>2.04</v>
      </c>
      <c r="L235">
        <v>3339</v>
      </c>
      <c r="M235" s="18">
        <v>38.200000000000003</v>
      </c>
      <c r="N235">
        <v>84</v>
      </c>
      <c r="O235">
        <v>1.5590640277777763</v>
      </c>
      <c r="P235" s="15">
        <v>34</v>
      </c>
      <c r="Q235">
        <v>0.5</v>
      </c>
      <c r="U235">
        <v>55</v>
      </c>
      <c r="V235">
        <v>1</v>
      </c>
    </row>
    <row r="236" spans="1:22" x14ac:dyDescent="0.3">
      <c r="A236" s="3" t="s">
        <v>141</v>
      </c>
      <c r="B236" s="3">
        <v>2026</v>
      </c>
      <c r="C236" s="3" t="s">
        <v>128</v>
      </c>
      <c r="D236" s="3" t="s">
        <v>122</v>
      </c>
      <c r="E236" s="4">
        <v>46046</v>
      </c>
      <c r="F236" s="4">
        <v>46075</v>
      </c>
      <c r="G236" s="9">
        <v>41</v>
      </c>
      <c r="H236" s="3"/>
      <c r="I236" s="3"/>
      <c r="J236" s="14"/>
      <c r="K236" s="3">
        <v>3.68</v>
      </c>
      <c r="L236" s="3">
        <v>4743</v>
      </c>
      <c r="M236" s="17">
        <v>13.2</v>
      </c>
      <c r="N236" s="3">
        <v>20</v>
      </c>
      <c r="O236" s="3">
        <v>0.45442222222222184</v>
      </c>
      <c r="P236" s="14">
        <v>31</v>
      </c>
      <c r="Q236" s="3">
        <v>0</v>
      </c>
      <c r="R236" s="17"/>
      <c r="S236" s="3"/>
      <c r="T236" s="14"/>
      <c r="U236" s="3">
        <v>70.5</v>
      </c>
      <c r="V236" s="3">
        <v>0</v>
      </c>
    </row>
    <row r="237" spans="1:22" x14ac:dyDescent="0.3">
      <c r="A237" t="s">
        <v>141</v>
      </c>
      <c r="B237">
        <v>2026</v>
      </c>
      <c r="C237" t="s">
        <v>74</v>
      </c>
      <c r="D237" t="s">
        <v>123</v>
      </c>
      <c r="E237" s="5">
        <v>46046</v>
      </c>
      <c r="F237" s="5">
        <v>46075</v>
      </c>
      <c r="G237" s="10">
        <v>78</v>
      </c>
      <c r="K237">
        <v>2.4900000000000002</v>
      </c>
      <c r="L237">
        <v>2977</v>
      </c>
      <c r="M237" s="18">
        <v>26.2</v>
      </c>
      <c r="N237">
        <v>42</v>
      </c>
      <c r="O237">
        <v>0.87185048611111082</v>
      </c>
      <c r="P237" s="15">
        <v>38</v>
      </c>
      <c r="Q237">
        <v>1</v>
      </c>
      <c r="U237">
        <v>74</v>
      </c>
      <c r="V237">
        <v>1</v>
      </c>
    </row>
    <row r="238" spans="1:22" x14ac:dyDescent="0.3">
      <c r="A238" s="3" t="s">
        <v>141</v>
      </c>
      <c r="B238" s="3">
        <v>2026</v>
      </c>
      <c r="C238" s="3" t="s">
        <v>124</v>
      </c>
      <c r="D238" s="3" t="s">
        <v>125</v>
      </c>
      <c r="E238" s="4">
        <v>46046</v>
      </c>
      <c r="F238" s="4">
        <v>46075</v>
      </c>
      <c r="G238" s="9">
        <v>64</v>
      </c>
      <c r="H238" s="3"/>
      <c r="I238" s="3"/>
      <c r="J238" s="14"/>
      <c r="K238" s="3">
        <v>2.66</v>
      </c>
      <c r="L238" s="3">
        <v>3306</v>
      </c>
      <c r="M238" s="17">
        <v>31.3</v>
      </c>
      <c r="N238" s="3">
        <v>49</v>
      </c>
      <c r="O238" s="3">
        <v>1.2011809722222226</v>
      </c>
      <c r="P238" s="14">
        <v>33</v>
      </c>
      <c r="Q238" s="3">
        <v>0.9</v>
      </c>
      <c r="R238" s="17"/>
      <c r="S238" s="3"/>
      <c r="T238" s="14"/>
      <c r="U238" s="3">
        <v>67</v>
      </c>
      <c r="V238" s="3">
        <v>1</v>
      </c>
    </row>
    <row r="239" spans="1:22" x14ac:dyDescent="0.3">
      <c r="A239" t="s">
        <v>141</v>
      </c>
      <c r="B239">
        <v>2026</v>
      </c>
      <c r="C239" t="s">
        <v>126</v>
      </c>
      <c r="D239" t="s">
        <v>127</v>
      </c>
      <c r="E239" s="5">
        <v>46046</v>
      </c>
      <c r="F239" s="5">
        <v>46075</v>
      </c>
      <c r="G239" s="10">
        <v>62</v>
      </c>
      <c r="K239">
        <v>3.3200000000000003</v>
      </c>
      <c r="L239">
        <v>2265</v>
      </c>
      <c r="M239" s="18">
        <v>29.65</v>
      </c>
      <c r="N239">
        <v>31</v>
      </c>
      <c r="O239">
        <v>0.73925690972222047</v>
      </c>
      <c r="P239" s="15">
        <v>29</v>
      </c>
      <c r="Q239">
        <v>0.1</v>
      </c>
      <c r="U239">
        <v>81</v>
      </c>
      <c r="V239">
        <v>0</v>
      </c>
    </row>
    <row r="240" spans="1:22" x14ac:dyDescent="0.3">
      <c r="A240" s="3" t="s">
        <v>141</v>
      </c>
      <c r="B240" s="3">
        <v>2026</v>
      </c>
      <c r="C240" s="3" t="s">
        <v>140</v>
      </c>
      <c r="D240" s="3" t="s">
        <v>129</v>
      </c>
      <c r="E240" s="4">
        <v>46046</v>
      </c>
      <c r="F240" s="4">
        <v>46075</v>
      </c>
      <c r="G240" s="9"/>
      <c r="H240" s="3"/>
      <c r="I240" s="3"/>
      <c r="J240" s="14"/>
      <c r="K240" s="3"/>
      <c r="L240" s="3"/>
      <c r="M240" s="17"/>
      <c r="N240" s="3"/>
      <c r="O240" s="3"/>
      <c r="P240" s="14">
        <v>31</v>
      </c>
      <c r="Q240" s="3"/>
      <c r="R240" s="17"/>
      <c r="S240" s="3"/>
      <c r="T240" s="14"/>
      <c r="U240" s="3">
        <v>50</v>
      </c>
      <c r="V240" s="3"/>
    </row>
    <row r="241" spans="1:22" x14ac:dyDescent="0.3">
      <c r="A241" t="s">
        <v>144</v>
      </c>
      <c r="B241">
        <v>2026</v>
      </c>
      <c r="C241" t="s">
        <v>43</v>
      </c>
      <c r="D241" t="s">
        <v>37</v>
      </c>
      <c r="E241" s="5">
        <v>46026</v>
      </c>
      <c r="F241" s="5">
        <v>46044</v>
      </c>
    </row>
    <row r="242" spans="1:22" x14ac:dyDescent="0.3">
      <c r="A242" s="3" t="s">
        <v>144</v>
      </c>
      <c r="B242" s="3">
        <v>2026</v>
      </c>
      <c r="C242" s="3" t="s">
        <v>137</v>
      </c>
      <c r="D242" s="3" t="s">
        <v>37</v>
      </c>
      <c r="E242" s="4">
        <v>46015</v>
      </c>
      <c r="F242" s="4">
        <v>46025</v>
      </c>
      <c r="G242" s="9"/>
      <c r="H242" s="3"/>
      <c r="I242" s="3"/>
      <c r="J242" s="14"/>
      <c r="K242" s="3"/>
      <c r="L242" s="3"/>
      <c r="M242" s="17"/>
      <c r="N242" s="3"/>
      <c r="O242" s="3"/>
      <c r="P242" s="14"/>
      <c r="Q242" s="3"/>
      <c r="R242" s="17"/>
      <c r="S242" s="3"/>
      <c r="T242" s="14"/>
      <c r="U242" s="3"/>
      <c r="V242" s="3"/>
    </row>
    <row r="243" spans="1:22" x14ac:dyDescent="0.3">
      <c r="A243" t="s">
        <v>144</v>
      </c>
      <c r="B243">
        <v>2026</v>
      </c>
      <c r="C243" t="s">
        <v>56</v>
      </c>
      <c r="D243" t="s">
        <v>39</v>
      </c>
      <c r="E243" s="5">
        <v>46015</v>
      </c>
      <c r="F243" s="5">
        <v>46045</v>
      </c>
    </row>
    <row r="244" spans="1:22" x14ac:dyDescent="0.3">
      <c r="A244" s="3" t="s">
        <v>144</v>
      </c>
      <c r="B244" s="3">
        <v>2026</v>
      </c>
      <c r="C244" s="3" t="s">
        <v>138</v>
      </c>
      <c r="D244" s="3" t="s">
        <v>139</v>
      </c>
      <c r="E244" s="4">
        <v>46015</v>
      </c>
      <c r="F244" s="4">
        <v>46045</v>
      </c>
      <c r="G244" s="9"/>
      <c r="H244" s="3"/>
      <c r="I244" s="3"/>
      <c r="J244" s="14"/>
      <c r="K244" s="3"/>
      <c r="L244" s="3"/>
      <c r="M244" s="17"/>
      <c r="N244" s="3"/>
      <c r="O244" s="3"/>
      <c r="P244" s="14"/>
      <c r="Q244" s="3"/>
      <c r="R244" s="17"/>
      <c r="S244" s="3"/>
      <c r="T244" s="14"/>
      <c r="U244" s="3"/>
      <c r="V244" s="3"/>
    </row>
    <row r="245" spans="1:22" x14ac:dyDescent="0.3">
      <c r="A245" t="s">
        <v>144</v>
      </c>
      <c r="B245">
        <v>2026</v>
      </c>
      <c r="C245" t="s">
        <v>36</v>
      </c>
      <c r="D245" t="s">
        <v>40</v>
      </c>
      <c r="E245" s="5">
        <v>46039</v>
      </c>
      <c r="F245" s="5">
        <v>46045</v>
      </c>
    </row>
    <row r="246" spans="1:22" x14ac:dyDescent="0.3">
      <c r="A246" s="3" t="s">
        <v>144</v>
      </c>
      <c r="B246" s="3">
        <v>2026</v>
      </c>
      <c r="C246" s="3" t="s">
        <v>142</v>
      </c>
      <c r="D246" s="3" t="s">
        <v>42</v>
      </c>
      <c r="E246" s="4">
        <v>46015</v>
      </c>
      <c r="F246" s="4">
        <v>46045</v>
      </c>
      <c r="G246" s="9"/>
      <c r="H246" s="3"/>
      <c r="I246" s="3"/>
      <c r="J246" s="14"/>
      <c r="K246" s="3"/>
      <c r="L246" s="3"/>
      <c r="M246" s="17"/>
      <c r="N246" s="3"/>
      <c r="O246" s="3"/>
      <c r="P246" s="14"/>
      <c r="Q246" s="3"/>
      <c r="R246" s="17"/>
      <c r="S246" s="3"/>
      <c r="T246" s="14"/>
      <c r="U246" s="3"/>
      <c r="V246" s="3"/>
    </row>
    <row r="247" spans="1:22" x14ac:dyDescent="0.3">
      <c r="A247" t="s">
        <v>144</v>
      </c>
      <c r="B247">
        <v>2026</v>
      </c>
      <c r="D247" t="s">
        <v>42</v>
      </c>
    </row>
    <row r="248" spans="1:22" x14ac:dyDescent="0.3">
      <c r="A248" s="3" t="s">
        <v>144</v>
      </c>
      <c r="B248" s="3">
        <v>2026</v>
      </c>
      <c r="C248" s="3" t="s">
        <v>48</v>
      </c>
      <c r="D248" s="3" t="s">
        <v>44</v>
      </c>
      <c r="E248" s="4">
        <v>46015</v>
      </c>
      <c r="F248" s="4">
        <v>46045</v>
      </c>
      <c r="G248" s="9"/>
      <c r="H248" s="3"/>
      <c r="I248" s="3"/>
      <c r="J248" s="14"/>
      <c r="K248" s="3"/>
      <c r="L248" s="3"/>
      <c r="M248" s="17"/>
      <c r="N248" s="3"/>
      <c r="O248" s="3"/>
      <c r="P248" s="14"/>
      <c r="Q248" s="3"/>
      <c r="R248" s="17"/>
      <c r="S248" s="3"/>
      <c r="T248" s="14"/>
      <c r="U248" s="3"/>
      <c r="V248" s="3"/>
    </row>
    <row r="249" spans="1:22" x14ac:dyDescent="0.3">
      <c r="A249" t="s">
        <v>144</v>
      </c>
      <c r="B249">
        <v>2026</v>
      </c>
      <c r="C249" t="s">
        <v>132</v>
      </c>
      <c r="D249" t="s">
        <v>46</v>
      </c>
      <c r="E249" s="5">
        <v>46026</v>
      </c>
      <c r="F249" s="5">
        <v>46045</v>
      </c>
      <c r="G249" s="10">
        <v>70</v>
      </c>
      <c r="K249">
        <v>2.2999999999999998</v>
      </c>
      <c r="L249">
        <v>2811</v>
      </c>
      <c r="M249" s="18">
        <v>34.200000000000003</v>
      </c>
      <c r="N249">
        <v>82</v>
      </c>
      <c r="O249">
        <v>1.4488806250000019</v>
      </c>
      <c r="P249" s="15">
        <v>32</v>
      </c>
      <c r="Q249">
        <v>0.3</v>
      </c>
      <c r="U249">
        <v>70</v>
      </c>
      <c r="V249">
        <v>1</v>
      </c>
    </row>
    <row r="250" spans="1:22" x14ac:dyDescent="0.3">
      <c r="A250" s="3" t="s">
        <v>144</v>
      </c>
      <c r="B250" s="3">
        <v>2026</v>
      </c>
      <c r="C250" s="3" t="s">
        <v>76</v>
      </c>
      <c r="D250" s="3" t="s">
        <v>49</v>
      </c>
      <c r="E250" s="4">
        <v>46015</v>
      </c>
      <c r="F250" s="4">
        <v>46045</v>
      </c>
      <c r="G250" s="9"/>
      <c r="H250" s="3"/>
      <c r="I250" s="3"/>
      <c r="J250" s="14"/>
      <c r="K250" s="3"/>
      <c r="L250" s="3"/>
      <c r="M250" s="17"/>
      <c r="N250" s="3"/>
      <c r="O250" s="3"/>
      <c r="P250" s="14"/>
      <c r="Q250" s="3"/>
      <c r="R250" s="17"/>
      <c r="S250" s="3"/>
      <c r="T250" s="14"/>
      <c r="U250" s="3"/>
      <c r="V250" s="3"/>
    </row>
    <row r="251" spans="1:22" x14ac:dyDescent="0.3">
      <c r="A251" t="s">
        <v>144</v>
      </c>
      <c r="B251">
        <v>2026</v>
      </c>
      <c r="D251" t="s">
        <v>50</v>
      </c>
      <c r="P251" s="15">
        <v>0.62279284374999899</v>
      </c>
      <c r="U251">
        <v>50</v>
      </c>
    </row>
    <row r="252" spans="1:22" x14ac:dyDescent="0.3">
      <c r="A252" s="3" t="s">
        <v>144</v>
      </c>
      <c r="B252" s="3">
        <v>2026</v>
      </c>
      <c r="C252" s="3" t="s">
        <v>52</v>
      </c>
      <c r="D252" s="3" t="s">
        <v>53</v>
      </c>
      <c r="E252" s="4">
        <v>46015</v>
      </c>
      <c r="F252" s="4">
        <v>46045</v>
      </c>
      <c r="G252" s="9">
        <v>61</v>
      </c>
      <c r="H252" s="3"/>
      <c r="I252" s="3"/>
      <c r="J252" s="14"/>
      <c r="K252" s="3">
        <v>2.4300000000000002</v>
      </c>
      <c r="L252" s="3">
        <v>2557</v>
      </c>
      <c r="M252" s="17">
        <v>29.7</v>
      </c>
      <c r="N252" s="3">
        <v>47</v>
      </c>
      <c r="O252" s="3">
        <v>0.88970406249999867</v>
      </c>
      <c r="P252" s="14">
        <v>35</v>
      </c>
      <c r="Q252" s="3">
        <v>0.8</v>
      </c>
      <c r="R252" s="17"/>
      <c r="S252" s="3"/>
      <c r="T252" s="14"/>
      <c r="U252" s="3">
        <v>65.5</v>
      </c>
      <c r="V252" s="3">
        <v>1</v>
      </c>
    </row>
    <row r="253" spans="1:22" x14ac:dyDescent="0.3">
      <c r="A253" t="s">
        <v>144</v>
      </c>
      <c r="B253">
        <v>2026</v>
      </c>
      <c r="C253" t="s">
        <v>54</v>
      </c>
      <c r="D253" t="s">
        <v>55</v>
      </c>
      <c r="E253" s="5">
        <v>46015</v>
      </c>
      <c r="F253" s="5">
        <v>46045</v>
      </c>
      <c r="G253" s="10">
        <v>52</v>
      </c>
      <c r="K253">
        <v>2.61</v>
      </c>
      <c r="L253">
        <v>3672</v>
      </c>
      <c r="M253" s="18">
        <v>23.9</v>
      </c>
      <c r="N253">
        <v>65</v>
      </c>
      <c r="O253">
        <v>1.0470246990740737</v>
      </c>
      <c r="P253" s="15">
        <v>46</v>
      </c>
      <c r="Q253">
        <v>0.1</v>
      </c>
      <c r="U253">
        <v>76</v>
      </c>
      <c r="V253">
        <v>0</v>
      </c>
    </row>
    <row r="254" spans="1:22" x14ac:dyDescent="0.3">
      <c r="A254" s="3" t="s">
        <v>144</v>
      </c>
      <c r="B254" s="3">
        <v>2026</v>
      </c>
      <c r="C254" s="3" t="s">
        <v>99</v>
      </c>
      <c r="D254" s="3" t="s">
        <v>57</v>
      </c>
      <c r="E254" s="4">
        <v>46015</v>
      </c>
      <c r="F254" s="4">
        <v>46045</v>
      </c>
      <c r="G254" s="9">
        <v>77</v>
      </c>
      <c r="H254" s="3"/>
      <c r="I254" s="3"/>
      <c r="J254" s="14"/>
      <c r="K254" s="3">
        <v>2.74</v>
      </c>
      <c r="L254" s="3">
        <v>4575</v>
      </c>
      <c r="M254" s="17">
        <v>24.6</v>
      </c>
      <c r="N254" s="3">
        <v>54</v>
      </c>
      <c r="O254" s="3">
        <v>1.1713529166666663</v>
      </c>
      <c r="P254" s="14">
        <v>35</v>
      </c>
      <c r="Q254" s="3">
        <v>0.1</v>
      </c>
      <c r="R254" s="17"/>
      <c r="S254" s="3"/>
      <c r="T254" s="14"/>
      <c r="U254" s="3">
        <v>88.5</v>
      </c>
      <c r="V254" s="3">
        <v>0</v>
      </c>
    </row>
    <row r="255" spans="1:22" x14ac:dyDescent="0.3">
      <c r="A255" t="s">
        <v>144</v>
      </c>
      <c r="B255">
        <v>2026</v>
      </c>
      <c r="C255" t="s">
        <v>78</v>
      </c>
      <c r="D255" t="s">
        <v>59</v>
      </c>
      <c r="E255" s="5">
        <v>46015</v>
      </c>
      <c r="F255" s="5">
        <v>46045</v>
      </c>
      <c r="G255" s="10">
        <v>71</v>
      </c>
      <c r="K255">
        <v>2.3199999999999998</v>
      </c>
      <c r="L255">
        <v>2193</v>
      </c>
      <c r="M255" s="18">
        <v>27.2</v>
      </c>
      <c r="N255">
        <v>57</v>
      </c>
      <c r="O255">
        <v>0.83279222222222193</v>
      </c>
      <c r="P255" s="15">
        <v>41</v>
      </c>
      <c r="Q255">
        <v>0.4</v>
      </c>
      <c r="U255">
        <v>85.5</v>
      </c>
      <c r="V255">
        <v>0</v>
      </c>
    </row>
    <row r="256" spans="1:22" x14ac:dyDescent="0.3">
      <c r="A256" s="3" t="s">
        <v>144</v>
      </c>
      <c r="B256" s="3">
        <v>2026</v>
      </c>
      <c r="C256" s="3" t="s">
        <v>143</v>
      </c>
      <c r="D256" s="3" t="s">
        <v>61</v>
      </c>
      <c r="E256" s="4">
        <v>46026</v>
      </c>
      <c r="F256" s="4">
        <v>46042</v>
      </c>
      <c r="G256" s="9">
        <v>70</v>
      </c>
      <c r="H256" s="3"/>
      <c r="I256" s="3"/>
      <c r="J256" s="14"/>
      <c r="K256" s="3">
        <v>2.29</v>
      </c>
      <c r="L256" s="3">
        <v>2869</v>
      </c>
      <c r="M256" s="17">
        <v>28.7</v>
      </c>
      <c r="N256" s="3">
        <v>48</v>
      </c>
      <c r="O256" s="3">
        <v>0.99526883101851893</v>
      </c>
      <c r="P256" s="14">
        <v>24</v>
      </c>
      <c r="Q256" s="3">
        <v>0.4</v>
      </c>
      <c r="R256" s="17"/>
      <c r="S256" s="3"/>
      <c r="T256" s="14"/>
      <c r="U256" s="3">
        <v>85</v>
      </c>
      <c r="V256" s="3">
        <v>0</v>
      </c>
    </row>
    <row r="257" spans="1:22" x14ac:dyDescent="0.3">
      <c r="A257" t="s">
        <v>144</v>
      </c>
      <c r="B257">
        <v>2026</v>
      </c>
      <c r="C257" t="s">
        <v>62</v>
      </c>
      <c r="D257" t="s">
        <v>63</v>
      </c>
      <c r="E257" s="5">
        <v>46015</v>
      </c>
      <c r="F257" s="5">
        <v>46045</v>
      </c>
      <c r="G257" s="10">
        <v>94</v>
      </c>
      <c r="K257">
        <v>2.12</v>
      </c>
      <c r="L257">
        <v>3511</v>
      </c>
      <c r="M257" s="18">
        <v>26.2</v>
      </c>
      <c r="N257">
        <v>61</v>
      </c>
      <c r="O257">
        <v>1.1887037037037045</v>
      </c>
      <c r="P257" s="15">
        <v>34</v>
      </c>
      <c r="Q257">
        <v>0.2</v>
      </c>
      <c r="U257">
        <v>97</v>
      </c>
      <c r="V257">
        <v>0</v>
      </c>
    </row>
    <row r="258" spans="1:22" x14ac:dyDescent="0.3">
      <c r="A258" s="3" t="s">
        <v>144</v>
      </c>
      <c r="B258" s="3">
        <v>2026</v>
      </c>
      <c r="C258" s="3" t="s">
        <v>65</v>
      </c>
      <c r="D258" s="3" t="s">
        <v>66</v>
      </c>
      <c r="E258" s="4">
        <v>46015</v>
      </c>
      <c r="F258" s="4">
        <v>46045</v>
      </c>
      <c r="G258" s="9">
        <v>68</v>
      </c>
      <c r="H258" s="3"/>
      <c r="I258" s="3"/>
      <c r="J258" s="14"/>
      <c r="K258" s="3">
        <v>2.74</v>
      </c>
      <c r="L258" s="3">
        <v>4139</v>
      </c>
      <c r="M258" s="17">
        <v>22.7</v>
      </c>
      <c r="N258" s="3">
        <v>55</v>
      </c>
      <c r="O258" s="3">
        <v>0.99465672453703591</v>
      </c>
      <c r="P258" s="14">
        <v>20</v>
      </c>
      <c r="Q258" s="3">
        <v>0.3</v>
      </c>
      <c r="R258" s="17"/>
      <c r="S258" s="3"/>
      <c r="T258" s="14"/>
      <c r="U258" s="3">
        <v>84</v>
      </c>
      <c r="V258" s="3">
        <v>0</v>
      </c>
    </row>
    <row r="259" spans="1:22" x14ac:dyDescent="0.3">
      <c r="A259" t="s">
        <v>144</v>
      </c>
      <c r="B259">
        <v>2026</v>
      </c>
      <c r="C259" t="s">
        <v>67</v>
      </c>
      <c r="D259" t="s">
        <v>68</v>
      </c>
      <c r="E259" s="5">
        <v>46026</v>
      </c>
      <c r="F259" s="5">
        <v>46032</v>
      </c>
      <c r="G259" s="10">
        <v>64</v>
      </c>
      <c r="K259">
        <v>2.69</v>
      </c>
      <c r="L259">
        <v>1611</v>
      </c>
      <c r="M259" s="18">
        <v>25.5</v>
      </c>
      <c r="N259">
        <v>19</v>
      </c>
      <c r="O259">
        <v>0.36382656249999912</v>
      </c>
      <c r="P259" s="15">
        <v>7</v>
      </c>
      <c r="Q259">
        <v>0.3</v>
      </c>
      <c r="U259">
        <v>67</v>
      </c>
      <c r="V259">
        <v>1</v>
      </c>
    </row>
    <row r="260" spans="1:22" x14ac:dyDescent="0.3">
      <c r="A260" s="3" t="s">
        <v>144</v>
      </c>
      <c r="B260" s="3">
        <v>2026</v>
      </c>
      <c r="C260" s="3" t="s">
        <v>69</v>
      </c>
      <c r="D260" s="3" t="s">
        <v>68</v>
      </c>
      <c r="E260" s="4">
        <v>46033</v>
      </c>
      <c r="F260" s="4">
        <v>46045</v>
      </c>
      <c r="G260" s="9">
        <v>72</v>
      </c>
      <c r="H260" s="3"/>
      <c r="I260" s="3"/>
      <c r="J260" s="14"/>
      <c r="K260" s="3">
        <v>2.31</v>
      </c>
      <c r="L260" s="3">
        <v>2593</v>
      </c>
      <c r="M260" s="17">
        <v>25.8</v>
      </c>
      <c r="N260" s="3">
        <v>38</v>
      </c>
      <c r="O260" s="3">
        <v>0.72473812500000012</v>
      </c>
      <c r="P260" s="14">
        <v>14</v>
      </c>
      <c r="Q260" s="3">
        <v>0.3</v>
      </c>
      <c r="R260" s="17"/>
      <c r="S260" s="3"/>
      <c r="T260" s="14"/>
      <c r="U260" s="3">
        <v>71</v>
      </c>
      <c r="V260" s="3">
        <v>1</v>
      </c>
    </row>
    <row r="261" spans="1:22" x14ac:dyDescent="0.3">
      <c r="A261" t="s">
        <v>144</v>
      </c>
      <c r="B261">
        <v>2026</v>
      </c>
      <c r="C261" t="s">
        <v>70</v>
      </c>
      <c r="D261" t="s">
        <v>71</v>
      </c>
      <c r="E261" s="5">
        <v>46015</v>
      </c>
      <c r="F261" s="5">
        <v>46045</v>
      </c>
      <c r="G261" s="10">
        <v>74</v>
      </c>
      <c r="K261">
        <v>2.2999999999999998</v>
      </c>
      <c r="L261">
        <v>4285</v>
      </c>
      <c r="M261" s="18">
        <v>23.4</v>
      </c>
      <c r="N261">
        <v>64</v>
      </c>
      <c r="O261">
        <v>1.1673729166666671</v>
      </c>
      <c r="P261" s="15">
        <v>44</v>
      </c>
      <c r="Q261">
        <v>1.6</v>
      </c>
      <c r="U261">
        <v>57</v>
      </c>
      <c r="V261">
        <v>2</v>
      </c>
    </row>
    <row r="262" spans="1:22" x14ac:dyDescent="0.3">
      <c r="A262" s="3" t="s">
        <v>144</v>
      </c>
      <c r="B262" s="3">
        <v>2026</v>
      </c>
      <c r="C262" s="3" t="s">
        <v>87</v>
      </c>
      <c r="D262" s="3" t="s">
        <v>73</v>
      </c>
      <c r="E262" s="4">
        <v>46026</v>
      </c>
      <c r="F262" s="4">
        <v>46045</v>
      </c>
      <c r="G262" s="9">
        <v>72</v>
      </c>
      <c r="H262" s="3"/>
      <c r="I262" s="3"/>
      <c r="J262" s="14"/>
      <c r="K262" s="3">
        <v>2.09</v>
      </c>
      <c r="L262" s="3">
        <v>2636</v>
      </c>
      <c r="M262" s="17">
        <v>25.9</v>
      </c>
      <c r="N262" s="3">
        <v>53</v>
      </c>
      <c r="O262" s="3">
        <v>0.88378054398148076</v>
      </c>
      <c r="P262" s="14">
        <v>32</v>
      </c>
      <c r="Q262" s="3">
        <v>0</v>
      </c>
      <c r="R262" s="17"/>
      <c r="S262" s="3"/>
      <c r="T262" s="14"/>
      <c r="U262" s="3">
        <v>86</v>
      </c>
      <c r="V262" s="3">
        <v>0</v>
      </c>
    </row>
    <row r="263" spans="1:22" x14ac:dyDescent="0.3">
      <c r="A263" t="s">
        <v>144</v>
      </c>
      <c r="B263">
        <v>2026</v>
      </c>
      <c r="C263" t="s">
        <v>133</v>
      </c>
      <c r="D263" t="s">
        <v>75</v>
      </c>
      <c r="E263" s="5">
        <v>46015</v>
      </c>
      <c r="F263" s="5">
        <v>46045</v>
      </c>
      <c r="G263" s="10">
        <v>76</v>
      </c>
      <c r="K263">
        <v>2.36</v>
      </c>
      <c r="L263">
        <v>3858</v>
      </c>
      <c r="M263" s="18">
        <v>34.799999999999997</v>
      </c>
      <c r="N263">
        <v>83</v>
      </c>
      <c r="O263">
        <v>1.7211628703703701</v>
      </c>
      <c r="P263" s="15">
        <v>38</v>
      </c>
      <c r="Q263">
        <v>0.5</v>
      </c>
      <c r="U263">
        <v>73</v>
      </c>
      <c r="V263">
        <v>1</v>
      </c>
    </row>
    <row r="264" spans="1:22" x14ac:dyDescent="0.3">
      <c r="A264" s="3" t="s">
        <v>144</v>
      </c>
      <c r="B264" s="3">
        <v>2026</v>
      </c>
      <c r="C264" s="3" t="s">
        <v>145</v>
      </c>
      <c r="D264" s="3" t="s">
        <v>77</v>
      </c>
      <c r="E264" s="4">
        <v>46015</v>
      </c>
      <c r="F264" s="4">
        <v>46045</v>
      </c>
      <c r="G264" s="9">
        <v>81</v>
      </c>
      <c r="H264" s="3"/>
      <c r="I264" s="3"/>
      <c r="J264" s="14"/>
      <c r="K264" s="3">
        <v>2.23</v>
      </c>
      <c r="L264" s="3">
        <v>3370</v>
      </c>
      <c r="M264" s="17">
        <v>27.2</v>
      </c>
      <c r="N264" s="3">
        <v>62</v>
      </c>
      <c r="O264" s="3">
        <v>1.1503364814814814</v>
      </c>
      <c r="P264" s="14">
        <v>33</v>
      </c>
      <c r="Q264" s="3">
        <v>0.2</v>
      </c>
      <c r="R264" s="17"/>
      <c r="S264" s="3"/>
      <c r="T264" s="14"/>
      <c r="U264" s="3">
        <v>90.5</v>
      </c>
      <c r="V264" s="3">
        <v>0</v>
      </c>
    </row>
    <row r="265" spans="1:22" x14ac:dyDescent="0.3">
      <c r="A265" t="s">
        <v>144</v>
      </c>
      <c r="B265">
        <v>2026</v>
      </c>
      <c r="C265" t="s">
        <v>143</v>
      </c>
      <c r="D265" t="s">
        <v>79</v>
      </c>
      <c r="E265" s="5">
        <v>46043</v>
      </c>
      <c r="F265" s="5">
        <v>46045</v>
      </c>
      <c r="G265" s="10">
        <v>66</v>
      </c>
      <c r="K265">
        <v>2.96</v>
      </c>
      <c r="L265">
        <v>435</v>
      </c>
      <c r="M265" s="18">
        <v>37.4</v>
      </c>
      <c r="N265">
        <v>11</v>
      </c>
      <c r="O265">
        <v>0.18278817129629629</v>
      </c>
      <c r="P265" s="15">
        <v>2</v>
      </c>
      <c r="Q265">
        <v>0</v>
      </c>
      <c r="U265">
        <v>68</v>
      </c>
      <c r="V265">
        <v>1</v>
      </c>
    </row>
    <row r="266" spans="1:22" x14ac:dyDescent="0.3">
      <c r="A266" s="3" t="s">
        <v>144</v>
      </c>
      <c r="B266" s="3">
        <v>2026</v>
      </c>
      <c r="C266" s="3" t="s">
        <v>60</v>
      </c>
      <c r="D266" s="3" t="s">
        <v>79</v>
      </c>
      <c r="E266" s="4">
        <v>46028</v>
      </c>
      <c r="F266" s="4">
        <v>46038</v>
      </c>
      <c r="G266" s="9">
        <v>84</v>
      </c>
      <c r="H266" s="3"/>
      <c r="I266" s="3"/>
      <c r="J266" s="14"/>
      <c r="K266" s="3">
        <v>3.35</v>
      </c>
      <c r="L266" s="3">
        <v>3239</v>
      </c>
      <c r="M266" s="17">
        <v>25.2</v>
      </c>
      <c r="N266" s="3">
        <v>38</v>
      </c>
      <c r="O266" s="3">
        <v>0.63068833333333285</v>
      </c>
      <c r="P266" s="14">
        <v>6</v>
      </c>
      <c r="Q266" s="3">
        <v>0</v>
      </c>
      <c r="R266" s="17"/>
      <c r="S266" s="3"/>
      <c r="T266" s="14"/>
      <c r="U266" s="3">
        <v>77</v>
      </c>
      <c r="V266" s="3">
        <v>1</v>
      </c>
    </row>
    <row r="267" spans="1:22" x14ac:dyDescent="0.3">
      <c r="A267" t="s">
        <v>144</v>
      </c>
      <c r="B267">
        <v>2026</v>
      </c>
      <c r="C267" t="s">
        <v>80</v>
      </c>
      <c r="D267" t="s">
        <v>81</v>
      </c>
      <c r="E267" s="5">
        <v>46015</v>
      </c>
      <c r="F267" s="5">
        <v>46045</v>
      </c>
      <c r="G267" s="10">
        <v>66</v>
      </c>
      <c r="K267">
        <v>2.59</v>
      </c>
      <c r="L267">
        <v>3767</v>
      </c>
      <c r="M267" s="18">
        <v>18</v>
      </c>
      <c r="N267">
        <v>33</v>
      </c>
      <c r="O267">
        <v>0.67074166666666613</v>
      </c>
      <c r="P267" s="15">
        <v>42</v>
      </c>
      <c r="Q267">
        <v>0.4</v>
      </c>
      <c r="U267">
        <v>83</v>
      </c>
      <c r="V267">
        <v>0</v>
      </c>
    </row>
    <row r="268" spans="1:22" x14ac:dyDescent="0.3">
      <c r="A268" s="3" t="s">
        <v>144</v>
      </c>
      <c r="B268" s="3">
        <v>2026</v>
      </c>
      <c r="C268" s="3" t="s">
        <v>84</v>
      </c>
      <c r="D268" s="3" t="s">
        <v>83</v>
      </c>
      <c r="E268" s="4">
        <v>46015</v>
      </c>
      <c r="F268" s="4">
        <v>46045</v>
      </c>
      <c r="G268" s="9">
        <v>83</v>
      </c>
      <c r="H268" s="3"/>
      <c r="I268" s="3"/>
      <c r="J268" s="14"/>
      <c r="K268" s="3">
        <v>2.44</v>
      </c>
      <c r="L268" s="3">
        <v>4465</v>
      </c>
      <c r="M268" s="17">
        <v>25.55</v>
      </c>
      <c r="N268" s="3">
        <v>66</v>
      </c>
      <c r="O268" s="3">
        <v>1.29375</v>
      </c>
      <c r="P268" s="14">
        <v>45</v>
      </c>
      <c r="Q268" s="3">
        <v>0.44</v>
      </c>
      <c r="R268" s="17"/>
      <c r="S268" s="3"/>
      <c r="T268" s="14"/>
      <c r="U268" s="3">
        <v>90</v>
      </c>
      <c r="V268" s="3">
        <v>0</v>
      </c>
    </row>
    <row r="269" spans="1:22" x14ac:dyDescent="0.3">
      <c r="A269" t="s">
        <v>144</v>
      </c>
      <c r="B269">
        <v>2026</v>
      </c>
      <c r="C269" t="s">
        <v>85</v>
      </c>
      <c r="D269" t="s">
        <v>86</v>
      </c>
      <c r="E269" s="5">
        <v>46015</v>
      </c>
      <c r="F269" s="5">
        <v>46045</v>
      </c>
      <c r="G269" s="10">
        <v>80</v>
      </c>
      <c r="K269">
        <v>2.41</v>
      </c>
      <c r="L269">
        <v>3830</v>
      </c>
      <c r="M269" s="18">
        <v>29.8</v>
      </c>
      <c r="N269">
        <v>65</v>
      </c>
      <c r="O269">
        <v>1.24992375</v>
      </c>
      <c r="P269" s="15">
        <v>40</v>
      </c>
      <c r="Q269">
        <v>0.4</v>
      </c>
      <c r="U269">
        <v>88</v>
      </c>
      <c r="V269">
        <v>0</v>
      </c>
    </row>
    <row r="270" spans="1:22" x14ac:dyDescent="0.3">
      <c r="A270" s="3" t="s">
        <v>144</v>
      </c>
      <c r="B270" s="3">
        <v>2026</v>
      </c>
      <c r="C270" s="3" t="s">
        <v>72</v>
      </c>
      <c r="D270" s="3" t="s">
        <v>88</v>
      </c>
      <c r="E270" s="4">
        <v>46026</v>
      </c>
      <c r="F270" s="4">
        <v>46045</v>
      </c>
      <c r="G270" s="9">
        <v>76</v>
      </c>
      <c r="H270" s="3"/>
      <c r="I270" s="3"/>
      <c r="J270" s="14"/>
      <c r="K270" s="3">
        <v>3.61</v>
      </c>
      <c r="L270" s="3">
        <v>5436</v>
      </c>
      <c r="M270" s="17">
        <v>17.3</v>
      </c>
      <c r="N270" s="3">
        <v>38</v>
      </c>
      <c r="O270" s="3">
        <v>0.67775553240740793</v>
      </c>
      <c r="P270" s="14">
        <v>23</v>
      </c>
      <c r="Q270" s="3">
        <v>0.1</v>
      </c>
      <c r="R270" s="17"/>
      <c r="S270" s="3"/>
      <c r="T270" s="14"/>
      <c r="U270" s="3">
        <v>88</v>
      </c>
      <c r="V270" s="3">
        <v>0</v>
      </c>
    </row>
    <row r="271" spans="1:22" x14ac:dyDescent="0.3">
      <c r="A271" t="s">
        <v>144</v>
      </c>
      <c r="B271">
        <v>2026</v>
      </c>
      <c r="C271" t="s">
        <v>67</v>
      </c>
      <c r="D271" t="s">
        <v>89</v>
      </c>
      <c r="E271" s="5">
        <v>46033</v>
      </c>
      <c r="F271" s="5">
        <v>46045</v>
      </c>
      <c r="G271" s="10">
        <v>68</v>
      </c>
      <c r="K271">
        <v>3.63</v>
      </c>
      <c r="L271">
        <v>3685</v>
      </c>
      <c r="M271" s="18">
        <v>17.2</v>
      </c>
      <c r="N271">
        <v>23</v>
      </c>
      <c r="O271">
        <v>0.44163189814814729</v>
      </c>
      <c r="P271" s="15">
        <v>16</v>
      </c>
      <c r="Q271">
        <v>0</v>
      </c>
      <c r="U271">
        <v>84</v>
      </c>
      <c r="V271">
        <v>0</v>
      </c>
    </row>
    <row r="272" spans="1:22" x14ac:dyDescent="0.3">
      <c r="A272" s="3" t="s">
        <v>144</v>
      </c>
      <c r="B272" s="3">
        <v>2026</v>
      </c>
      <c r="C272" s="3" t="s">
        <v>69</v>
      </c>
      <c r="D272" s="3" t="s">
        <v>89</v>
      </c>
      <c r="E272" s="4">
        <v>46027</v>
      </c>
      <c r="F272" s="4">
        <v>46032</v>
      </c>
      <c r="G272" s="9">
        <v>65</v>
      </c>
      <c r="H272" s="3"/>
      <c r="I272" s="3"/>
      <c r="J272" s="14"/>
      <c r="K272" s="3">
        <v>2.63</v>
      </c>
      <c r="L272" s="3">
        <v>1339</v>
      </c>
      <c r="M272" s="17">
        <v>24.4</v>
      </c>
      <c r="N272" s="3">
        <v>15</v>
      </c>
      <c r="O272" s="3">
        <v>0.2729919444444433</v>
      </c>
      <c r="P272" s="14">
        <v>2</v>
      </c>
      <c r="Q272" s="3">
        <v>1</v>
      </c>
      <c r="R272" s="17"/>
      <c r="S272" s="3"/>
      <c r="T272" s="14"/>
      <c r="U272" s="3">
        <v>52.5</v>
      </c>
      <c r="V272" s="3">
        <v>2</v>
      </c>
    </row>
    <row r="273" spans="1:22" x14ac:dyDescent="0.3">
      <c r="A273" t="s">
        <v>144</v>
      </c>
      <c r="B273">
        <v>2026</v>
      </c>
      <c r="C273" t="s">
        <v>90</v>
      </c>
      <c r="D273" t="s">
        <v>91</v>
      </c>
      <c r="E273" s="5">
        <v>46015</v>
      </c>
      <c r="F273" s="5">
        <v>46045</v>
      </c>
      <c r="G273" s="10">
        <v>82</v>
      </c>
      <c r="K273">
        <v>2.29</v>
      </c>
      <c r="L273">
        <v>3424</v>
      </c>
      <c r="M273" s="18">
        <v>19.600000000000001</v>
      </c>
      <c r="N273">
        <v>42</v>
      </c>
      <c r="O273">
        <v>0.76695435185185235</v>
      </c>
      <c r="P273" s="15">
        <v>45</v>
      </c>
      <c r="Q273">
        <v>0.9</v>
      </c>
      <c r="U273">
        <v>76</v>
      </c>
      <c r="V273">
        <v>1</v>
      </c>
    </row>
    <row r="274" spans="1:22" x14ac:dyDescent="0.3">
      <c r="A274" s="3" t="s">
        <v>144</v>
      </c>
      <c r="B274" s="3">
        <v>2026</v>
      </c>
      <c r="C274" s="3" t="s">
        <v>64</v>
      </c>
      <c r="D274" s="3" t="s">
        <v>94</v>
      </c>
      <c r="E274" s="4">
        <v>46026</v>
      </c>
      <c r="F274" s="4">
        <v>46033</v>
      </c>
      <c r="G274" s="9">
        <v>79</v>
      </c>
      <c r="H274" s="3"/>
      <c r="I274" s="3"/>
      <c r="J274" s="14"/>
      <c r="K274" s="3">
        <v>2.93</v>
      </c>
      <c r="L274" s="3">
        <v>2058</v>
      </c>
      <c r="M274" s="17">
        <v>10.3</v>
      </c>
      <c r="N274" s="3">
        <v>8</v>
      </c>
      <c r="O274" s="3">
        <v>0.15560152777777733</v>
      </c>
      <c r="P274" s="14">
        <v>7</v>
      </c>
      <c r="Q274" s="3">
        <v>0.5</v>
      </c>
      <c r="R274" s="17"/>
      <c r="S274" s="3"/>
      <c r="T274" s="14"/>
      <c r="U274" s="3">
        <v>89.5</v>
      </c>
      <c r="V274" s="3">
        <v>0</v>
      </c>
    </row>
    <row r="275" spans="1:22" x14ac:dyDescent="0.3">
      <c r="A275" t="s">
        <v>144</v>
      </c>
      <c r="B275">
        <v>2026</v>
      </c>
      <c r="C275" t="s">
        <v>64</v>
      </c>
      <c r="D275" t="s">
        <v>94</v>
      </c>
      <c r="E275" s="5">
        <v>46043</v>
      </c>
      <c r="F275" s="5">
        <v>46045</v>
      </c>
      <c r="G275" s="10">
        <v>73</v>
      </c>
      <c r="K275">
        <v>2.17</v>
      </c>
      <c r="L275">
        <v>622</v>
      </c>
      <c r="M275" s="18">
        <v>13.3</v>
      </c>
      <c r="N275">
        <v>5</v>
      </c>
      <c r="O275">
        <v>7.3208495370370399E-2</v>
      </c>
      <c r="P275" s="15">
        <v>2</v>
      </c>
      <c r="Q275">
        <v>0</v>
      </c>
      <c r="U275">
        <v>86.5</v>
      </c>
      <c r="V275">
        <v>0</v>
      </c>
    </row>
    <row r="276" spans="1:22" x14ac:dyDescent="0.3">
      <c r="A276" s="3" t="s">
        <v>144</v>
      </c>
      <c r="B276" s="3">
        <v>2026</v>
      </c>
      <c r="C276" s="3" t="s">
        <v>103</v>
      </c>
      <c r="D276" s="3" t="s">
        <v>94</v>
      </c>
      <c r="E276" s="4">
        <v>46034</v>
      </c>
      <c r="F276" s="4">
        <v>46042</v>
      </c>
      <c r="G276" s="9">
        <v>91</v>
      </c>
      <c r="H276" s="3"/>
      <c r="I276" s="3"/>
      <c r="J276" s="14"/>
      <c r="K276" s="3">
        <v>3.3250000000000002</v>
      </c>
      <c r="L276" s="3">
        <v>1431</v>
      </c>
      <c r="M276" s="17">
        <v>20.05</v>
      </c>
      <c r="N276" s="3">
        <v>16</v>
      </c>
      <c r="O276" s="3">
        <v>0.3380796643518526</v>
      </c>
      <c r="P276" s="14">
        <v>10</v>
      </c>
      <c r="Q276" s="3">
        <v>0.05</v>
      </c>
      <c r="R276" s="17"/>
      <c r="S276" s="3"/>
      <c r="T276" s="14"/>
      <c r="U276" s="3">
        <v>95.5</v>
      </c>
      <c r="V276" s="3">
        <v>0</v>
      </c>
    </row>
    <row r="277" spans="1:22" x14ac:dyDescent="0.3">
      <c r="A277" t="s">
        <v>144</v>
      </c>
      <c r="B277">
        <v>2026</v>
      </c>
      <c r="C277" t="s">
        <v>134</v>
      </c>
      <c r="D277" t="s">
        <v>100</v>
      </c>
      <c r="E277" s="5">
        <v>46026</v>
      </c>
      <c r="F277" s="5">
        <v>46045</v>
      </c>
      <c r="G277" s="10">
        <v>62</v>
      </c>
      <c r="K277">
        <v>3.55</v>
      </c>
      <c r="L277">
        <v>7780</v>
      </c>
      <c r="M277" s="18">
        <v>12.5</v>
      </c>
      <c r="N277">
        <v>36</v>
      </c>
      <c r="O277">
        <v>0.63792968750000001</v>
      </c>
      <c r="P277" s="15">
        <v>23</v>
      </c>
      <c r="Q277">
        <v>4.3</v>
      </c>
      <c r="U277">
        <v>36</v>
      </c>
      <c r="V277">
        <v>3</v>
      </c>
    </row>
    <row r="278" spans="1:22" x14ac:dyDescent="0.3">
      <c r="A278" s="3" t="s">
        <v>144</v>
      </c>
      <c r="B278" s="3">
        <v>2026</v>
      </c>
      <c r="C278" s="3" t="s">
        <v>64</v>
      </c>
      <c r="D278" s="3" t="s">
        <v>104</v>
      </c>
      <c r="E278" s="4">
        <v>46034</v>
      </c>
      <c r="F278" s="4">
        <v>46042</v>
      </c>
      <c r="G278" s="9">
        <v>75</v>
      </c>
      <c r="H278" s="3"/>
      <c r="I278" s="3"/>
      <c r="J278" s="14"/>
      <c r="K278" s="3">
        <v>3.39</v>
      </c>
      <c r="L278" s="3">
        <v>1086</v>
      </c>
      <c r="M278" s="17">
        <v>20</v>
      </c>
      <c r="N278" s="3">
        <v>14</v>
      </c>
      <c r="O278" s="3">
        <v>0.21350694444444401</v>
      </c>
      <c r="P278" s="14">
        <v>11</v>
      </c>
      <c r="Q278" s="3">
        <v>0</v>
      </c>
      <c r="R278" s="17"/>
      <c r="S278" s="3"/>
      <c r="T278" s="14"/>
      <c r="U278" s="3">
        <v>87.5</v>
      </c>
      <c r="V278" s="3">
        <v>0</v>
      </c>
    </row>
    <row r="279" spans="1:22" x14ac:dyDescent="0.3">
      <c r="A279" t="s">
        <v>144</v>
      </c>
      <c r="B279">
        <v>2026</v>
      </c>
      <c r="C279" t="s">
        <v>103</v>
      </c>
      <c r="D279" t="s">
        <v>104</v>
      </c>
      <c r="E279" s="5">
        <v>46028</v>
      </c>
      <c r="F279" s="5">
        <v>46033</v>
      </c>
      <c r="G279" s="10">
        <v>89</v>
      </c>
      <c r="K279">
        <v>3.83</v>
      </c>
      <c r="L279">
        <v>2855</v>
      </c>
      <c r="M279" s="18">
        <v>16.8</v>
      </c>
      <c r="N279">
        <v>17</v>
      </c>
      <c r="O279">
        <v>0.32114638888888919</v>
      </c>
      <c r="P279" s="15">
        <v>5</v>
      </c>
      <c r="Q279">
        <v>0</v>
      </c>
      <c r="U279">
        <v>79.5</v>
      </c>
      <c r="V279">
        <v>1</v>
      </c>
    </row>
    <row r="280" spans="1:22" x14ac:dyDescent="0.3">
      <c r="A280" s="3" t="s">
        <v>144</v>
      </c>
      <c r="B280" s="3">
        <v>2026</v>
      </c>
      <c r="C280" s="3" t="s">
        <v>103</v>
      </c>
      <c r="D280" s="3" t="s">
        <v>104</v>
      </c>
      <c r="E280" s="4">
        <v>46043</v>
      </c>
      <c r="F280" s="4">
        <v>46045</v>
      </c>
      <c r="G280" s="9">
        <v>88</v>
      </c>
      <c r="H280" s="3"/>
      <c r="I280" s="3"/>
      <c r="J280" s="14"/>
      <c r="K280" s="3">
        <v>3.03</v>
      </c>
      <c r="L280" s="3">
        <v>403</v>
      </c>
      <c r="M280" s="17">
        <v>21.4</v>
      </c>
      <c r="N280" s="3">
        <v>4</v>
      </c>
      <c r="O280" s="3">
        <v>7.3297476851851839E-2</v>
      </c>
      <c r="P280" s="14">
        <v>2</v>
      </c>
      <c r="Q280" s="3">
        <v>0</v>
      </c>
      <c r="R280" s="17"/>
      <c r="S280" s="3"/>
      <c r="T280" s="14"/>
      <c r="U280" s="3">
        <v>94</v>
      </c>
      <c r="V280" s="3">
        <v>0</v>
      </c>
    </row>
    <row r="281" spans="1:22" x14ac:dyDescent="0.3">
      <c r="A281" t="s">
        <v>144</v>
      </c>
      <c r="B281">
        <v>2026</v>
      </c>
      <c r="C281" t="s">
        <v>82</v>
      </c>
      <c r="D281" t="s">
        <v>95</v>
      </c>
      <c r="E281" s="5">
        <v>46015</v>
      </c>
      <c r="F281" s="5">
        <v>46045</v>
      </c>
      <c r="G281" s="10">
        <v>83</v>
      </c>
      <c r="K281">
        <v>3.07</v>
      </c>
      <c r="L281">
        <v>4017</v>
      </c>
      <c r="M281" s="18">
        <v>22.6</v>
      </c>
      <c r="N281">
        <v>46</v>
      </c>
      <c r="O281">
        <v>0.93125340277777835</v>
      </c>
      <c r="P281" s="15">
        <v>39</v>
      </c>
      <c r="Q281">
        <v>0.2</v>
      </c>
      <c r="U281">
        <v>91.5</v>
      </c>
      <c r="V281">
        <v>0</v>
      </c>
    </row>
    <row r="282" spans="1:22" x14ac:dyDescent="0.3">
      <c r="A282" s="3" t="s">
        <v>144</v>
      </c>
      <c r="B282" s="3">
        <v>2026</v>
      </c>
      <c r="C282" s="3" t="s">
        <v>146</v>
      </c>
      <c r="D282" s="3" t="s">
        <v>93</v>
      </c>
      <c r="E282" s="4">
        <v>46015</v>
      </c>
      <c r="F282" s="4">
        <v>46045</v>
      </c>
      <c r="G282" s="9">
        <v>81</v>
      </c>
      <c r="H282" s="3"/>
      <c r="I282" s="3"/>
      <c r="J282" s="14"/>
      <c r="K282" s="3">
        <v>2.38</v>
      </c>
      <c r="L282" s="3">
        <v>3590</v>
      </c>
      <c r="M282" s="17">
        <v>15.4</v>
      </c>
      <c r="N282" s="3">
        <v>35</v>
      </c>
      <c r="O282" s="3">
        <v>0.58609120370370416</v>
      </c>
      <c r="P282" s="14">
        <v>43</v>
      </c>
      <c r="Q282" s="3">
        <v>0.7</v>
      </c>
      <c r="R282" s="17"/>
      <c r="S282" s="3"/>
      <c r="T282" s="14"/>
      <c r="U282" s="3">
        <v>75.5</v>
      </c>
      <c r="V282" s="3">
        <v>1</v>
      </c>
    </row>
    <row r="283" spans="1:22" x14ac:dyDescent="0.3">
      <c r="A283" t="s">
        <v>144</v>
      </c>
      <c r="B283">
        <v>2026</v>
      </c>
      <c r="C283" t="s">
        <v>96</v>
      </c>
      <c r="D283" t="s">
        <v>105</v>
      </c>
      <c r="E283" s="5">
        <v>46026</v>
      </c>
      <c r="F283" s="5">
        <v>46045</v>
      </c>
      <c r="G283" s="10">
        <v>80</v>
      </c>
      <c r="K283">
        <v>2.2999999999999998</v>
      </c>
      <c r="L283">
        <v>3446</v>
      </c>
      <c r="M283" s="18">
        <v>25.3</v>
      </c>
      <c r="N283">
        <v>58</v>
      </c>
      <c r="O283">
        <v>1.0340818634259255</v>
      </c>
      <c r="P283" s="15">
        <v>12</v>
      </c>
      <c r="Q283">
        <v>0.2</v>
      </c>
      <c r="U283">
        <v>60</v>
      </c>
      <c r="V283">
        <v>2</v>
      </c>
    </row>
    <row r="284" spans="1:22" x14ac:dyDescent="0.3">
      <c r="A284" s="3" t="s">
        <v>144</v>
      </c>
      <c r="B284" s="3">
        <v>2026</v>
      </c>
      <c r="C284" s="3" t="s">
        <v>147</v>
      </c>
      <c r="D284" s="3" t="s">
        <v>97</v>
      </c>
      <c r="E284" s="4">
        <v>46015</v>
      </c>
      <c r="F284" s="4">
        <v>46045</v>
      </c>
      <c r="G284" s="9">
        <v>68</v>
      </c>
      <c r="H284" s="3"/>
      <c r="I284" s="3"/>
      <c r="J284" s="14"/>
      <c r="K284" s="3">
        <v>3.58</v>
      </c>
      <c r="L284" s="3">
        <v>5259</v>
      </c>
      <c r="M284" s="17">
        <v>24.5</v>
      </c>
      <c r="N284" s="3">
        <v>62</v>
      </c>
      <c r="O284" s="3">
        <v>1.0468929398148155</v>
      </c>
      <c r="P284" s="14">
        <v>34</v>
      </c>
      <c r="Q284" s="3">
        <v>0</v>
      </c>
      <c r="R284" s="17"/>
      <c r="S284" s="3"/>
      <c r="T284" s="14"/>
      <c r="U284" s="3">
        <v>84</v>
      </c>
      <c r="V284" s="3">
        <v>0</v>
      </c>
    </row>
    <row r="285" spans="1:22" x14ac:dyDescent="0.3">
      <c r="A285" t="s">
        <v>144</v>
      </c>
      <c r="B285">
        <v>2026</v>
      </c>
      <c r="C285" t="s">
        <v>101</v>
      </c>
      <c r="D285" t="s">
        <v>102</v>
      </c>
      <c r="E285" s="5">
        <v>46015</v>
      </c>
      <c r="F285" s="5">
        <v>46045</v>
      </c>
      <c r="G285" s="10">
        <v>78</v>
      </c>
      <c r="K285">
        <v>2.29</v>
      </c>
      <c r="L285">
        <v>3240</v>
      </c>
      <c r="M285" s="18">
        <v>25.6</v>
      </c>
      <c r="N285">
        <v>58</v>
      </c>
      <c r="O285">
        <v>0.98368296296296198</v>
      </c>
      <c r="P285" s="15">
        <v>40</v>
      </c>
      <c r="Q285">
        <v>0.1</v>
      </c>
      <c r="U285">
        <v>89</v>
      </c>
      <c r="V285">
        <v>0</v>
      </c>
    </row>
    <row r="286" spans="1:22" x14ac:dyDescent="0.3">
      <c r="A286" s="3" t="s">
        <v>144</v>
      </c>
      <c r="B286" s="3">
        <v>2026</v>
      </c>
      <c r="C286" s="3" t="s">
        <v>106</v>
      </c>
      <c r="D286" s="3" t="s">
        <v>107</v>
      </c>
      <c r="E286" s="4">
        <v>46015</v>
      </c>
      <c r="F286" s="4">
        <v>46045</v>
      </c>
      <c r="G286" s="9">
        <v>73</v>
      </c>
      <c r="H286" s="3"/>
      <c r="I286" s="3"/>
      <c r="J286" s="14"/>
      <c r="K286" s="3">
        <v>2.74</v>
      </c>
      <c r="L286" s="3">
        <v>4371</v>
      </c>
      <c r="M286" s="17">
        <v>24.3</v>
      </c>
      <c r="N286" s="3">
        <v>61</v>
      </c>
      <c r="O286" s="3">
        <v>1.2182343750000011</v>
      </c>
      <c r="P286" s="14">
        <v>41</v>
      </c>
      <c r="Q286" s="3">
        <v>0</v>
      </c>
      <c r="R286" s="17"/>
      <c r="S286" s="3"/>
      <c r="T286" s="14"/>
      <c r="U286" s="3">
        <v>86.5</v>
      </c>
      <c r="V286" s="3">
        <v>0</v>
      </c>
    </row>
    <row r="287" spans="1:22" x14ac:dyDescent="0.3">
      <c r="A287" t="s">
        <v>144</v>
      </c>
      <c r="B287">
        <v>2026</v>
      </c>
      <c r="C287" t="s">
        <v>108</v>
      </c>
      <c r="D287" t="s">
        <v>109</v>
      </c>
      <c r="E287" s="5">
        <v>46015</v>
      </c>
      <c r="F287" s="5">
        <v>46045</v>
      </c>
      <c r="G287" s="10">
        <v>78</v>
      </c>
      <c r="K287">
        <v>2.2450000000000001</v>
      </c>
      <c r="L287">
        <v>1196</v>
      </c>
      <c r="M287" s="18">
        <v>39.4</v>
      </c>
      <c r="N287">
        <v>33</v>
      </c>
      <c r="O287">
        <v>0.64228263888888804</v>
      </c>
      <c r="P287" s="15">
        <v>38</v>
      </c>
      <c r="Q287">
        <v>0.15</v>
      </c>
      <c r="U287">
        <v>89</v>
      </c>
      <c r="V287">
        <v>0</v>
      </c>
    </row>
    <row r="288" spans="1:22" x14ac:dyDescent="0.3">
      <c r="A288" s="3" t="s">
        <v>144</v>
      </c>
      <c r="B288" s="3">
        <v>2026</v>
      </c>
      <c r="C288" s="3"/>
      <c r="D288" s="3" t="s">
        <v>111</v>
      </c>
      <c r="E288" s="3"/>
      <c r="F288" s="3"/>
      <c r="G288" s="9"/>
      <c r="H288" s="3"/>
      <c r="I288" s="3"/>
      <c r="J288" s="14"/>
      <c r="K288" s="3"/>
      <c r="L288" s="3"/>
      <c r="M288" s="17"/>
      <c r="N288" s="3"/>
      <c r="O288" s="3"/>
      <c r="P288" s="14">
        <v>0</v>
      </c>
      <c r="Q288" s="3"/>
      <c r="R288" s="17"/>
      <c r="S288" s="3"/>
      <c r="T288" s="14"/>
      <c r="U288" s="3">
        <v>87</v>
      </c>
      <c r="V288" s="3">
        <v>0</v>
      </c>
    </row>
    <row r="289" spans="1:22" x14ac:dyDescent="0.3">
      <c r="A289" t="s">
        <v>144</v>
      </c>
      <c r="B289">
        <v>2026</v>
      </c>
      <c r="C289" t="s">
        <v>113</v>
      </c>
      <c r="D289" t="s">
        <v>114</v>
      </c>
      <c r="E289" s="5">
        <v>46015</v>
      </c>
      <c r="F289" s="5">
        <v>46045</v>
      </c>
      <c r="G289" s="10">
        <v>74</v>
      </c>
      <c r="K289">
        <v>2.7250000000000001</v>
      </c>
      <c r="L289">
        <v>4132</v>
      </c>
      <c r="M289" s="18">
        <v>17.45</v>
      </c>
      <c r="N289">
        <v>44</v>
      </c>
      <c r="O289">
        <v>0.63492851851851828</v>
      </c>
      <c r="P289" s="15">
        <v>42</v>
      </c>
      <c r="Q289">
        <v>0.35</v>
      </c>
      <c r="U289">
        <v>50</v>
      </c>
      <c r="V289">
        <v>0</v>
      </c>
    </row>
    <row r="290" spans="1:22" x14ac:dyDescent="0.3">
      <c r="A290" s="3" t="s">
        <v>144</v>
      </c>
      <c r="B290" s="3">
        <v>2026</v>
      </c>
      <c r="C290" s="3" t="s">
        <v>121</v>
      </c>
      <c r="D290" s="3" t="s">
        <v>116</v>
      </c>
      <c r="E290" s="4">
        <v>46038</v>
      </c>
      <c r="F290" s="4">
        <v>46045</v>
      </c>
      <c r="G290" s="9"/>
      <c r="H290" s="3"/>
      <c r="I290" s="3"/>
      <c r="J290" s="14"/>
      <c r="K290" s="3" t="s">
        <v>148</v>
      </c>
      <c r="L290" s="3"/>
      <c r="M290" s="17"/>
      <c r="N290" s="3"/>
      <c r="O290" s="3"/>
      <c r="P290" s="14"/>
      <c r="Q290" s="3"/>
      <c r="R290" s="17"/>
      <c r="S290" s="3"/>
      <c r="T290" s="14"/>
      <c r="U290" s="3">
        <v>50</v>
      </c>
      <c r="V290" s="3">
        <v>0</v>
      </c>
    </row>
    <row r="291" spans="1:22" x14ac:dyDescent="0.3">
      <c r="A291" t="s">
        <v>144</v>
      </c>
      <c r="B291">
        <v>2026</v>
      </c>
      <c r="C291" t="s">
        <v>117</v>
      </c>
      <c r="D291" t="s">
        <v>119</v>
      </c>
      <c r="E291" s="5">
        <v>46015</v>
      </c>
      <c r="F291" s="5">
        <v>46045</v>
      </c>
      <c r="U291">
        <v>50</v>
      </c>
      <c r="V291">
        <v>0</v>
      </c>
    </row>
    <row r="292" spans="1:22" x14ac:dyDescent="0.3">
      <c r="A292" s="3" t="s">
        <v>144</v>
      </c>
      <c r="B292" s="3">
        <v>2026</v>
      </c>
      <c r="C292" s="3" t="s">
        <v>118</v>
      </c>
      <c r="D292" s="3" t="s">
        <v>120</v>
      </c>
      <c r="E292" s="4">
        <v>46015</v>
      </c>
      <c r="F292" s="4">
        <v>46045</v>
      </c>
      <c r="G292" s="9"/>
      <c r="H292" s="3"/>
      <c r="I292" s="3"/>
      <c r="J292" s="14"/>
      <c r="K292" s="3"/>
      <c r="L292" s="3"/>
      <c r="M292" s="17"/>
      <c r="N292" s="3"/>
      <c r="O292" s="3"/>
      <c r="P292" s="14"/>
      <c r="Q292" s="3"/>
      <c r="R292" s="17"/>
      <c r="S292" s="3"/>
      <c r="T292" s="14"/>
      <c r="U292" s="3">
        <v>50</v>
      </c>
      <c r="V292" s="3">
        <v>0</v>
      </c>
    </row>
    <row r="293" spans="1:22" x14ac:dyDescent="0.3">
      <c r="A293" t="s">
        <v>144</v>
      </c>
      <c r="B293">
        <v>2026</v>
      </c>
      <c r="C293" t="s">
        <v>121</v>
      </c>
      <c r="D293" t="s">
        <v>122</v>
      </c>
      <c r="E293" s="5">
        <v>46015</v>
      </c>
      <c r="F293" s="5">
        <v>46025</v>
      </c>
      <c r="U293">
        <v>50</v>
      </c>
      <c r="V293">
        <v>0</v>
      </c>
    </row>
    <row r="294" spans="1:22" x14ac:dyDescent="0.3">
      <c r="A294" s="3" t="s">
        <v>144</v>
      </c>
      <c r="B294" s="3">
        <v>2026</v>
      </c>
      <c r="C294" s="3" t="s">
        <v>74</v>
      </c>
      <c r="D294" s="3" t="s">
        <v>123</v>
      </c>
      <c r="E294" s="4">
        <v>46015</v>
      </c>
      <c r="F294" s="4">
        <v>46045</v>
      </c>
      <c r="G294" s="9">
        <v>79</v>
      </c>
      <c r="H294" s="3"/>
      <c r="I294" s="3"/>
      <c r="J294" s="14"/>
      <c r="K294" s="3">
        <v>3.12</v>
      </c>
      <c r="L294" s="3">
        <v>2022</v>
      </c>
      <c r="M294" s="17">
        <v>27</v>
      </c>
      <c r="N294" s="3">
        <v>33</v>
      </c>
      <c r="O294" s="3">
        <v>0.68713437500000007</v>
      </c>
      <c r="P294" s="14">
        <v>37</v>
      </c>
      <c r="Q294" s="3">
        <v>0.3</v>
      </c>
      <c r="R294" s="17"/>
      <c r="S294" s="3"/>
      <c r="T294" s="14"/>
      <c r="U294" s="3">
        <v>89.5</v>
      </c>
      <c r="V294" s="3">
        <v>0</v>
      </c>
    </row>
    <row r="295" spans="1:22" x14ac:dyDescent="0.3">
      <c r="A295" t="s">
        <v>144</v>
      </c>
      <c r="B295">
        <v>2026</v>
      </c>
      <c r="C295" t="s">
        <v>124</v>
      </c>
      <c r="D295" t="s">
        <v>125</v>
      </c>
      <c r="E295" s="5">
        <v>46015</v>
      </c>
      <c r="F295" s="5">
        <v>46045</v>
      </c>
      <c r="G295" s="10">
        <v>69</v>
      </c>
      <c r="K295">
        <v>3.27</v>
      </c>
      <c r="L295">
        <v>3184</v>
      </c>
      <c r="M295" s="18">
        <v>28.6</v>
      </c>
      <c r="N295">
        <v>45</v>
      </c>
      <c r="O295">
        <v>1.1025796527777774</v>
      </c>
      <c r="P295" s="15">
        <v>42</v>
      </c>
      <c r="Q295">
        <v>0.1</v>
      </c>
      <c r="U295">
        <v>84.5</v>
      </c>
      <c r="V295">
        <v>0</v>
      </c>
    </row>
    <row r="296" spans="1:22" x14ac:dyDescent="0.3">
      <c r="A296" s="3" t="s">
        <v>144</v>
      </c>
      <c r="B296" s="3">
        <v>2026</v>
      </c>
      <c r="C296" s="3" t="s">
        <v>126</v>
      </c>
      <c r="D296" s="3" t="s">
        <v>127</v>
      </c>
      <c r="E296" s="4">
        <v>46015</v>
      </c>
      <c r="F296" s="4">
        <v>46045</v>
      </c>
      <c r="G296" s="9">
        <v>59</v>
      </c>
      <c r="H296" s="3"/>
      <c r="I296" s="3"/>
      <c r="J296" s="14"/>
      <c r="K296" s="3">
        <v>3.15</v>
      </c>
      <c r="L296" s="3">
        <v>3320</v>
      </c>
      <c r="M296" s="17">
        <v>29.3</v>
      </c>
      <c r="N296" s="3">
        <v>40</v>
      </c>
      <c r="O296" s="3">
        <v>1.172105127314816</v>
      </c>
      <c r="P296" s="14">
        <v>30</v>
      </c>
      <c r="Q296" s="3">
        <v>0.1</v>
      </c>
      <c r="R296" s="17"/>
      <c r="S296" s="3"/>
      <c r="T296" s="14"/>
      <c r="U296" s="3">
        <v>79.5</v>
      </c>
      <c r="V296" s="3">
        <v>0</v>
      </c>
    </row>
    <row r="297" spans="1:22" x14ac:dyDescent="0.3">
      <c r="A297" s="31" t="s">
        <v>153</v>
      </c>
      <c r="B297" s="31">
        <v>2026</v>
      </c>
      <c r="C297" s="31" t="s">
        <v>36</v>
      </c>
      <c r="D297" s="31" t="s">
        <v>37</v>
      </c>
      <c r="E297" s="32">
        <v>46166</v>
      </c>
      <c r="F297" s="32">
        <v>46196</v>
      </c>
      <c r="G297" s="33"/>
      <c r="H297" s="31"/>
      <c r="I297" s="31"/>
      <c r="J297" s="34"/>
      <c r="K297" s="31"/>
      <c r="L297" s="31"/>
      <c r="M297" s="35"/>
      <c r="N297" s="31"/>
      <c r="O297" s="31"/>
      <c r="P297" s="34"/>
      <c r="Q297" s="31"/>
      <c r="R297" s="35"/>
      <c r="S297" s="31"/>
      <c r="T297" s="34"/>
      <c r="U297" s="31">
        <v>50</v>
      </c>
      <c r="V297" s="31"/>
    </row>
    <row r="298" spans="1:22" x14ac:dyDescent="0.3">
      <c r="A298" s="3" t="s">
        <v>153</v>
      </c>
      <c r="B298" s="3">
        <v>2026</v>
      </c>
      <c r="C298" s="3" t="s">
        <v>133</v>
      </c>
      <c r="D298" s="3" t="s">
        <v>39</v>
      </c>
      <c r="E298" s="4">
        <v>46166</v>
      </c>
      <c r="F298" s="4">
        <v>46171</v>
      </c>
      <c r="G298" s="9"/>
      <c r="H298" s="3"/>
      <c r="I298" s="3"/>
      <c r="J298" s="14"/>
      <c r="K298" s="3"/>
      <c r="L298" s="3"/>
      <c r="M298" s="17"/>
      <c r="N298" s="3"/>
      <c r="O298" s="3"/>
      <c r="P298" s="14"/>
      <c r="Q298" s="3"/>
      <c r="R298" s="17"/>
      <c r="S298" s="3"/>
      <c r="T298" s="14"/>
      <c r="U298" s="3">
        <v>50</v>
      </c>
      <c r="V298" s="3"/>
    </row>
    <row r="299" spans="1:22" x14ac:dyDescent="0.3">
      <c r="A299" s="31" t="s">
        <v>153</v>
      </c>
      <c r="B299" s="31">
        <v>2026</v>
      </c>
      <c r="C299" s="31"/>
      <c r="D299" s="31" t="s">
        <v>40</v>
      </c>
      <c r="E299" s="31"/>
      <c r="F299" s="31"/>
      <c r="G299" s="33"/>
      <c r="H299" s="31"/>
      <c r="I299" s="31"/>
      <c r="J299" s="34"/>
      <c r="K299" s="31"/>
      <c r="L299" s="31"/>
      <c r="M299" s="35"/>
      <c r="N299" s="31"/>
      <c r="O299" s="31"/>
      <c r="P299" s="34"/>
      <c r="Q299" s="31"/>
      <c r="R299" s="35"/>
      <c r="S299" s="31"/>
      <c r="T299" s="34"/>
      <c r="U299" s="31">
        <v>50</v>
      </c>
      <c r="V299" s="31"/>
    </row>
    <row r="300" spans="1:22" x14ac:dyDescent="0.3">
      <c r="A300" s="3" t="s">
        <v>153</v>
      </c>
      <c r="B300" s="3">
        <v>2026</v>
      </c>
      <c r="C300" s="3" t="s">
        <v>149</v>
      </c>
      <c r="D300" s="3" t="s">
        <v>42</v>
      </c>
      <c r="E300" s="4">
        <v>46190</v>
      </c>
      <c r="F300" s="4">
        <v>46196</v>
      </c>
      <c r="G300" s="9"/>
      <c r="H300" s="3"/>
      <c r="I300" s="3"/>
      <c r="J300" s="14"/>
      <c r="K300" s="3"/>
      <c r="L300" s="3"/>
      <c r="M300" s="17"/>
      <c r="N300" s="3"/>
      <c r="O300" s="3"/>
      <c r="P300" s="14"/>
      <c r="Q300" s="3"/>
      <c r="R300" s="17"/>
      <c r="S300" s="3"/>
      <c r="T300" s="14"/>
      <c r="U300" s="3">
        <v>50</v>
      </c>
      <c r="V300" s="3"/>
    </row>
    <row r="301" spans="1:22" x14ac:dyDescent="0.3">
      <c r="A301" s="31" t="s">
        <v>153</v>
      </c>
      <c r="B301" s="31">
        <v>2026</v>
      </c>
      <c r="C301" s="31" t="s">
        <v>65</v>
      </c>
      <c r="D301" s="31" t="s">
        <v>42</v>
      </c>
      <c r="E301" s="32">
        <v>46183</v>
      </c>
      <c r="F301" s="32">
        <v>46189</v>
      </c>
      <c r="G301" s="33"/>
      <c r="H301" s="31"/>
      <c r="I301" s="31"/>
      <c r="J301" s="34"/>
      <c r="K301" s="31"/>
      <c r="L301" s="31"/>
      <c r="M301" s="35"/>
      <c r="N301" s="31"/>
      <c r="O301" s="31"/>
      <c r="P301" s="34"/>
      <c r="Q301" s="31"/>
      <c r="R301" s="35"/>
      <c r="S301" s="31"/>
      <c r="T301" s="34"/>
      <c r="U301" s="31">
        <v>50</v>
      </c>
      <c r="V301" s="31"/>
    </row>
    <row r="302" spans="1:22" x14ac:dyDescent="0.3">
      <c r="A302" s="3" t="s">
        <v>153</v>
      </c>
      <c r="B302" s="3">
        <v>2026</v>
      </c>
      <c r="C302" s="3" t="s">
        <v>41</v>
      </c>
      <c r="D302" s="3" t="s">
        <v>44</v>
      </c>
      <c r="E302" s="4">
        <v>46169</v>
      </c>
      <c r="F302" s="4">
        <v>46196</v>
      </c>
      <c r="G302" s="9"/>
      <c r="H302" s="3"/>
      <c r="I302" s="3"/>
      <c r="J302" s="14"/>
      <c r="K302" s="3"/>
      <c r="L302" s="3"/>
      <c r="M302" s="17"/>
      <c r="N302" s="3"/>
      <c r="O302" s="3"/>
      <c r="P302" s="14"/>
      <c r="Q302" s="3"/>
      <c r="R302" s="17"/>
      <c r="S302" s="3"/>
      <c r="T302" s="14"/>
      <c r="U302" s="3">
        <v>50</v>
      </c>
      <c r="V302" s="3"/>
    </row>
    <row r="303" spans="1:22" x14ac:dyDescent="0.3">
      <c r="A303" s="31" t="s">
        <v>153</v>
      </c>
      <c r="B303" s="31">
        <v>2026</v>
      </c>
      <c r="C303" s="31" t="s">
        <v>103</v>
      </c>
      <c r="D303" s="31" t="s">
        <v>44</v>
      </c>
      <c r="E303" s="32">
        <v>46167</v>
      </c>
      <c r="F303" s="32">
        <v>46168</v>
      </c>
      <c r="G303" s="33"/>
      <c r="H303" s="31"/>
      <c r="I303" s="31"/>
      <c r="J303" s="34"/>
      <c r="K303" s="31"/>
      <c r="L303" s="31"/>
      <c r="M303" s="35"/>
      <c r="N303" s="31"/>
      <c r="O303" s="31"/>
      <c r="P303" s="34"/>
      <c r="Q303" s="31"/>
      <c r="R303" s="35"/>
      <c r="S303" s="31"/>
      <c r="T303" s="34"/>
      <c r="U303" s="31">
        <v>50</v>
      </c>
      <c r="V303" s="31"/>
    </row>
    <row r="304" spans="1:22" x14ac:dyDescent="0.3">
      <c r="A304" s="3" t="s">
        <v>153</v>
      </c>
      <c r="B304" s="3">
        <v>2026</v>
      </c>
      <c r="C304" s="3" t="s">
        <v>45</v>
      </c>
      <c r="D304" s="3" t="s">
        <v>46</v>
      </c>
      <c r="E304" s="4">
        <v>46166</v>
      </c>
      <c r="F304" s="4">
        <v>46196</v>
      </c>
      <c r="G304" s="9">
        <v>65</v>
      </c>
      <c r="H304" s="3">
        <v>0</v>
      </c>
      <c r="I304" s="3">
        <v>69</v>
      </c>
      <c r="J304" s="14">
        <v>60</v>
      </c>
      <c r="K304" s="3">
        <v>2.31</v>
      </c>
      <c r="L304" s="3">
        <v>7</v>
      </c>
      <c r="M304" s="17">
        <v>50.2</v>
      </c>
      <c r="N304" s="3">
        <v>1</v>
      </c>
      <c r="O304" s="36">
        <v>1.6944444444444401E-2</v>
      </c>
      <c r="P304" s="14">
        <v>17</v>
      </c>
      <c r="Q304" s="3">
        <v>47</v>
      </c>
      <c r="R304" s="17">
        <v>100</v>
      </c>
      <c r="S304" s="3">
        <v>0</v>
      </c>
      <c r="T304" s="14">
        <v>0</v>
      </c>
      <c r="U304" s="3">
        <v>82.5</v>
      </c>
      <c r="V304" s="3">
        <v>0</v>
      </c>
    </row>
    <row r="305" spans="1:22" x14ac:dyDescent="0.3">
      <c r="A305" s="31" t="s">
        <v>153</v>
      </c>
      <c r="B305" s="31">
        <v>2026</v>
      </c>
      <c r="C305" s="31" t="s">
        <v>48</v>
      </c>
      <c r="D305" s="31" t="s">
        <v>49</v>
      </c>
      <c r="E305" s="32">
        <v>46166</v>
      </c>
      <c r="F305" s="32">
        <v>46191</v>
      </c>
      <c r="G305" s="33"/>
      <c r="H305" s="31"/>
      <c r="I305" s="31"/>
      <c r="J305" s="34"/>
      <c r="K305" s="31"/>
      <c r="L305" s="31"/>
      <c r="M305" s="35"/>
      <c r="N305" s="31"/>
      <c r="O305" s="31"/>
      <c r="P305" s="34"/>
      <c r="Q305" s="31"/>
      <c r="R305" s="35" t="s">
        <v>47</v>
      </c>
      <c r="S305" s="31" t="s">
        <v>47</v>
      </c>
      <c r="T305" s="34" t="s">
        <v>47</v>
      </c>
      <c r="U305" s="31">
        <v>50</v>
      </c>
      <c r="V305" s="31"/>
    </row>
    <row r="306" spans="1:22" x14ac:dyDescent="0.3">
      <c r="A306" s="3" t="s">
        <v>153</v>
      </c>
      <c r="B306" s="3">
        <v>2026</v>
      </c>
      <c r="C306" s="3" t="s">
        <v>38</v>
      </c>
      <c r="D306" s="3" t="s">
        <v>50</v>
      </c>
      <c r="E306" s="3"/>
      <c r="F306" s="3"/>
      <c r="G306" s="9">
        <v>79</v>
      </c>
      <c r="H306" s="3">
        <v>63</v>
      </c>
      <c r="I306" s="3">
        <v>87</v>
      </c>
      <c r="J306" s="14">
        <v>87</v>
      </c>
      <c r="K306" s="3">
        <v>2.56</v>
      </c>
      <c r="L306" s="3">
        <v>4837</v>
      </c>
      <c r="M306" s="17"/>
      <c r="N306" s="3">
        <v>88</v>
      </c>
      <c r="O306" s="36">
        <v>1.5053472222222199</v>
      </c>
      <c r="P306" s="14"/>
      <c r="Q306" s="3"/>
      <c r="R306" s="17">
        <v>47.92</v>
      </c>
      <c r="S306" s="3">
        <v>51.74</v>
      </c>
      <c r="T306" s="14">
        <v>0.33</v>
      </c>
      <c r="U306" s="3"/>
      <c r="V306" s="3"/>
    </row>
    <row r="307" spans="1:22" x14ac:dyDescent="0.3">
      <c r="A307" s="31" t="s">
        <v>153</v>
      </c>
      <c r="B307" s="31">
        <v>2026</v>
      </c>
      <c r="C307" s="31" t="s">
        <v>38</v>
      </c>
      <c r="D307" s="31" t="s">
        <v>50</v>
      </c>
      <c r="E307" s="32">
        <v>46166</v>
      </c>
      <c r="F307" s="32">
        <v>46196</v>
      </c>
      <c r="G307" s="33">
        <v>76</v>
      </c>
      <c r="H307" s="31">
        <v>63</v>
      </c>
      <c r="I307" s="31">
        <v>88</v>
      </c>
      <c r="J307" s="34">
        <v>76</v>
      </c>
      <c r="K307" s="31">
        <v>2.5299999999999998</v>
      </c>
      <c r="L307" s="31">
        <v>4281</v>
      </c>
      <c r="M307" s="35">
        <v>32.299999999999997</v>
      </c>
      <c r="N307" s="31">
        <v>92</v>
      </c>
      <c r="O307" s="37">
        <v>1.4728240740740699</v>
      </c>
      <c r="P307" s="34">
        <v>30</v>
      </c>
      <c r="Q307" s="31">
        <v>30</v>
      </c>
      <c r="R307" s="35">
        <v>37.979999999999997</v>
      </c>
      <c r="S307" s="31">
        <v>61.75</v>
      </c>
      <c r="T307" s="34">
        <v>0.28000000000000003</v>
      </c>
      <c r="U307" s="31">
        <v>73</v>
      </c>
      <c r="V307" s="31">
        <v>1</v>
      </c>
    </row>
    <row r="308" spans="1:22" x14ac:dyDescent="0.3">
      <c r="A308" s="3" t="s">
        <v>153</v>
      </c>
      <c r="B308" s="3">
        <v>2026</v>
      </c>
      <c r="C308" s="3" t="s">
        <v>52</v>
      </c>
      <c r="D308" s="3" t="s">
        <v>53</v>
      </c>
      <c r="E308" s="4">
        <v>46166</v>
      </c>
      <c r="F308" s="4">
        <v>46195</v>
      </c>
      <c r="G308" s="9">
        <v>61</v>
      </c>
      <c r="H308" s="3">
        <v>37</v>
      </c>
      <c r="I308" s="3">
        <v>82</v>
      </c>
      <c r="J308" s="14">
        <v>65</v>
      </c>
      <c r="K308" s="3">
        <v>2.4300000000000006</v>
      </c>
      <c r="L308" s="3">
        <v>6847</v>
      </c>
      <c r="M308" s="17">
        <v>31.7</v>
      </c>
      <c r="N308" s="3">
        <v>132</v>
      </c>
      <c r="O308" s="36">
        <v>2.30885416666667</v>
      </c>
      <c r="P308" s="14">
        <v>11</v>
      </c>
      <c r="Q308" s="3">
        <v>47</v>
      </c>
      <c r="R308" s="17">
        <v>0.54</v>
      </c>
      <c r="S308" s="3">
        <v>98.45</v>
      </c>
      <c r="T308" s="14">
        <v>1.01</v>
      </c>
      <c r="U308" s="3">
        <v>50.5</v>
      </c>
      <c r="V308" s="3">
        <v>2</v>
      </c>
    </row>
    <row r="309" spans="1:22" x14ac:dyDescent="0.3">
      <c r="A309" s="31" t="s">
        <v>153</v>
      </c>
      <c r="B309" s="31">
        <v>2026</v>
      </c>
      <c r="C309" s="31" t="s">
        <v>54</v>
      </c>
      <c r="D309" s="31" t="s">
        <v>55</v>
      </c>
      <c r="E309" s="32">
        <v>46166</v>
      </c>
      <c r="F309" s="32">
        <v>46196</v>
      </c>
      <c r="G309" s="33">
        <v>50</v>
      </c>
      <c r="H309" s="31">
        <v>40</v>
      </c>
      <c r="I309" s="31">
        <v>60</v>
      </c>
      <c r="J309" s="34">
        <v>51</v>
      </c>
      <c r="K309" s="31">
        <v>2.42</v>
      </c>
      <c r="L309" s="31">
        <v>6323</v>
      </c>
      <c r="M309" s="35">
        <v>24.2</v>
      </c>
      <c r="N309" s="31">
        <v>98</v>
      </c>
      <c r="O309" s="37">
        <v>1.58534722222222</v>
      </c>
      <c r="P309" s="34">
        <v>20</v>
      </c>
      <c r="Q309" s="31">
        <v>45</v>
      </c>
      <c r="R309" s="35">
        <v>0.25</v>
      </c>
      <c r="S309" s="31">
        <v>99.32</v>
      </c>
      <c r="T309" s="34">
        <v>0.43</v>
      </c>
      <c r="U309" s="31">
        <v>75</v>
      </c>
      <c r="V309" s="31">
        <v>0</v>
      </c>
    </row>
    <row r="310" spans="1:22" x14ac:dyDescent="0.3">
      <c r="A310" s="3" t="s">
        <v>153</v>
      </c>
      <c r="B310" s="3">
        <v>2026</v>
      </c>
      <c r="C310" s="3" t="s">
        <v>56</v>
      </c>
      <c r="D310" s="3" t="s">
        <v>57</v>
      </c>
      <c r="E310" s="4">
        <v>46166</v>
      </c>
      <c r="F310" s="4">
        <v>46196</v>
      </c>
      <c r="G310" s="9">
        <v>39</v>
      </c>
      <c r="H310" s="3">
        <v>37</v>
      </c>
      <c r="I310" s="3">
        <v>48</v>
      </c>
      <c r="J310" s="14">
        <v>31</v>
      </c>
      <c r="K310" s="3">
        <v>2.2599999999999998</v>
      </c>
      <c r="L310" s="3">
        <v>6154</v>
      </c>
      <c r="M310" s="17">
        <v>34.9</v>
      </c>
      <c r="N310" s="3">
        <v>133</v>
      </c>
      <c r="O310" s="36">
        <v>2.2916666666666665</v>
      </c>
      <c r="P310" s="14">
        <v>15</v>
      </c>
      <c r="Q310" s="3">
        <v>45</v>
      </c>
      <c r="R310" s="17">
        <v>83.07</v>
      </c>
      <c r="S310" s="3">
        <v>0</v>
      </c>
      <c r="T310" s="14">
        <v>16.93</v>
      </c>
      <c r="U310" s="3">
        <v>24.5</v>
      </c>
      <c r="V310" s="3">
        <v>3</v>
      </c>
    </row>
    <row r="311" spans="1:22" x14ac:dyDescent="0.3">
      <c r="A311" s="31" t="s">
        <v>153</v>
      </c>
      <c r="B311" s="31">
        <v>2026</v>
      </c>
      <c r="C311" s="31" t="s">
        <v>43</v>
      </c>
      <c r="D311" s="31" t="s">
        <v>59</v>
      </c>
      <c r="E311" s="32">
        <v>46182</v>
      </c>
      <c r="F311" s="32">
        <v>46196</v>
      </c>
      <c r="G311" s="33">
        <v>80</v>
      </c>
      <c r="H311" s="31">
        <v>72</v>
      </c>
      <c r="I311" s="31">
        <v>82</v>
      </c>
      <c r="J311" s="34">
        <v>87</v>
      </c>
      <c r="K311" s="31">
        <v>1.98</v>
      </c>
      <c r="L311" s="31">
        <v>2761</v>
      </c>
      <c r="M311" s="35">
        <v>62.1</v>
      </c>
      <c r="N311" s="31">
        <v>182</v>
      </c>
      <c r="O311" s="37">
        <v>1.6666666666666667</v>
      </c>
      <c r="P311" s="34">
        <v>6</v>
      </c>
      <c r="Q311" s="31">
        <v>27</v>
      </c>
      <c r="R311" s="35">
        <v>85.49</v>
      </c>
      <c r="S311" s="31">
        <v>14.51</v>
      </c>
      <c r="T311" s="34">
        <v>0</v>
      </c>
      <c r="U311" s="31">
        <v>90</v>
      </c>
      <c r="V311" s="31">
        <v>0</v>
      </c>
    </row>
    <row r="312" spans="1:22" x14ac:dyDescent="0.3">
      <c r="A312" s="3" t="s">
        <v>153</v>
      </c>
      <c r="B312" s="3">
        <v>2026</v>
      </c>
      <c r="C312" s="3" t="s">
        <v>58</v>
      </c>
      <c r="D312" s="3" t="s">
        <v>59</v>
      </c>
      <c r="E312" s="4">
        <v>46166</v>
      </c>
      <c r="F312" s="4">
        <v>46181</v>
      </c>
      <c r="G312" s="9">
        <v>77</v>
      </c>
      <c r="H312" s="3">
        <v>62</v>
      </c>
      <c r="I312" s="3">
        <v>87</v>
      </c>
      <c r="J312" s="14">
        <v>82</v>
      </c>
      <c r="K312" s="3">
        <v>2.84</v>
      </c>
      <c r="L312" s="3">
        <v>1875</v>
      </c>
      <c r="M312" s="17">
        <v>20.2</v>
      </c>
      <c r="N312" s="3">
        <v>24</v>
      </c>
      <c r="O312" s="36">
        <v>0.37766203703703699</v>
      </c>
      <c r="P312" s="14">
        <v>13</v>
      </c>
      <c r="Q312" s="3">
        <v>17</v>
      </c>
      <c r="R312" s="17">
        <v>10.23</v>
      </c>
      <c r="S312" s="3">
        <v>89.51</v>
      </c>
      <c r="T312" s="14">
        <v>0.23</v>
      </c>
      <c r="U312" s="3">
        <v>88.5</v>
      </c>
      <c r="V312" s="3">
        <v>0</v>
      </c>
    </row>
    <row r="313" spans="1:22" x14ac:dyDescent="0.3">
      <c r="A313" s="31" t="s">
        <v>153</v>
      </c>
      <c r="B313" s="31">
        <v>2026</v>
      </c>
      <c r="C313" s="31" t="s">
        <v>60</v>
      </c>
      <c r="D313" s="31" t="s">
        <v>61</v>
      </c>
      <c r="E313" s="32">
        <v>46166</v>
      </c>
      <c r="F313" s="32">
        <v>46196</v>
      </c>
      <c r="G313" s="33">
        <v>81</v>
      </c>
      <c r="H313" s="31">
        <v>48</v>
      </c>
      <c r="I313" s="31">
        <v>97</v>
      </c>
      <c r="J313" s="34">
        <v>98</v>
      </c>
      <c r="K313" s="31">
        <v>2.4</v>
      </c>
      <c r="L313" s="31">
        <v>6852</v>
      </c>
      <c r="M313" s="35">
        <v>26.3</v>
      </c>
      <c r="N313" s="31">
        <v>100</v>
      </c>
      <c r="O313" s="37">
        <v>2.1047453703703667</v>
      </c>
      <c r="P313" s="34">
        <v>16</v>
      </c>
      <c r="Q313" s="31">
        <v>45</v>
      </c>
      <c r="R313" s="35">
        <v>4.04</v>
      </c>
      <c r="S313" s="31">
        <v>94.47</v>
      </c>
      <c r="T313" s="34">
        <v>1.49</v>
      </c>
      <c r="U313" s="31">
        <v>75.5</v>
      </c>
      <c r="V313" s="31">
        <v>1</v>
      </c>
    </row>
    <row r="314" spans="1:22" x14ac:dyDescent="0.3">
      <c r="A314" s="3" t="s">
        <v>153</v>
      </c>
      <c r="B314" s="3">
        <v>2026</v>
      </c>
      <c r="C314" s="3" t="s">
        <v>62</v>
      </c>
      <c r="D314" s="3" t="s">
        <v>63</v>
      </c>
      <c r="E314" s="4">
        <v>46180</v>
      </c>
      <c r="F314" s="4">
        <v>46196</v>
      </c>
      <c r="G314" s="9">
        <v>96</v>
      </c>
      <c r="H314" s="3">
        <v>96</v>
      </c>
      <c r="I314" s="3">
        <v>95</v>
      </c>
      <c r="J314" s="14">
        <v>97</v>
      </c>
      <c r="K314" s="3">
        <v>2.02</v>
      </c>
      <c r="L314" s="3">
        <v>2680</v>
      </c>
      <c r="M314" s="17">
        <v>35.799999999999997</v>
      </c>
      <c r="N314" s="3">
        <v>83</v>
      </c>
      <c r="O314" s="36">
        <v>1.3347337962963</v>
      </c>
      <c r="P314" s="14">
        <v>7</v>
      </c>
      <c r="Q314" s="3">
        <v>25</v>
      </c>
      <c r="R314" s="17">
        <v>0</v>
      </c>
      <c r="S314" s="3">
        <v>100</v>
      </c>
      <c r="T314" s="14">
        <v>0</v>
      </c>
      <c r="U314" s="3">
        <v>90.5</v>
      </c>
      <c r="V314" s="3">
        <v>1</v>
      </c>
    </row>
    <row r="315" spans="1:22" x14ac:dyDescent="0.3">
      <c r="A315" s="31" t="s">
        <v>153</v>
      </c>
      <c r="B315" s="31">
        <v>2026</v>
      </c>
      <c r="C315" s="31" t="s">
        <v>64</v>
      </c>
      <c r="D315" s="31" t="s">
        <v>63</v>
      </c>
      <c r="E315" s="32">
        <v>46166</v>
      </c>
      <c r="F315" s="32">
        <v>46169</v>
      </c>
      <c r="G315" s="33">
        <v>72.170575692963752</v>
      </c>
      <c r="H315" s="31">
        <v>53.424307036247335</v>
      </c>
      <c r="I315" s="31">
        <v>88.010660980810229</v>
      </c>
      <c r="J315" s="34">
        <v>73.149253731343279</v>
      </c>
      <c r="K315" s="31">
        <v>2.6288059701492541</v>
      </c>
      <c r="L315" s="31">
        <v>938</v>
      </c>
      <c r="M315" s="35">
        <v>27.972068230277188</v>
      </c>
      <c r="N315" s="31">
        <v>20</v>
      </c>
      <c r="O315" s="37">
        <v>0.3700231481481483</v>
      </c>
      <c r="P315" s="34">
        <v>1</v>
      </c>
      <c r="Q315" s="31">
        <v>12</v>
      </c>
      <c r="R315" s="35">
        <v>0</v>
      </c>
      <c r="S315" s="31">
        <v>99.89</v>
      </c>
      <c r="T315" s="34">
        <v>0.11</v>
      </c>
      <c r="U315" s="31">
        <v>86.085287846481876</v>
      </c>
      <c r="V315" s="31">
        <v>0</v>
      </c>
    </row>
    <row r="316" spans="1:22" x14ac:dyDescent="0.3">
      <c r="A316" s="3" t="s">
        <v>153</v>
      </c>
      <c r="B316" s="3">
        <v>2026</v>
      </c>
      <c r="C316" s="3" t="s">
        <v>103</v>
      </c>
      <c r="D316" s="3" t="s">
        <v>63</v>
      </c>
      <c r="E316" s="4">
        <v>46170</v>
      </c>
      <c r="F316" s="4">
        <v>46177</v>
      </c>
      <c r="G316" s="9">
        <v>93</v>
      </c>
      <c r="H316" s="3">
        <v>94</v>
      </c>
      <c r="I316" s="3">
        <v>90</v>
      </c>
      <c r="J316" s="14">
        <v>94</v>
      </c>
      <c r="K316" s="3">
        <v>3.02</v>
      </c>
      <c r="L316" s="3">
        <v>4152</v>
      </c>
      <c r="M316" s="17">
        <v>18.899999999999999</v>
      </c>
      <c r="N316" s="3">
        <v>26</v>
      </c>
      <c r="O316" s="36">
        <v>0.56504629629629588</v>
      </c>
      <c r="P316" s="14">
        <v>6</v>
      </c>
      <c r="Q316" s="3">
        <v>8</v>
      </c>
      <c r="R316" s="17">
        <v>0</v>
      </c>
      <c r="S316" s="3">
        <v>100</v>
      </c>
      <c r="T316" s="14">
        <v>0</v>
      </c>
      <c r="U316" s="3">
        <v>81.5</v>
      </c>
      <c r="V316" s="3">
        <v>1</v>
      </c>
    </row>
    <row r="317" spans="1:22" x14ac:dyDescent="0.3">
      <c r="A317" s="31" t="s">
        <v>153</v>
      </c>
      <c r="B317" s="31">
        <v>2026</v>
      </c>
      <c r="C317" s="31" t="s">
        <v>65</v>
      </c>
      <c r="D317" s="31" t="s">
        <v>66</v>
      </c>
      <c r="E317" s="32">
        <v>46166</v>
      </c>
      <c r="F317" s="32">
        <v>46196</v>
      </c>
      <c r="G317" s="33">
        <v>77.244125649270345</v>
      </c>
      <c r="H317" s="31">
        <v>62.67449913430621</v>
      </c>
      <c r="I317" s="31">
        <v>78.488251298540689</v>
      </c>
      <c r="J317" s="34">
        <v>90.651001731387581</v>
      </c>
      <c r="K317" s="31">
        <v>2.2598911699233244</v>
      </c>
      <c r="L317" s="31">
        <v>4043</v>
      </c>
      <c r="M317" s="35">
        <v>23.322582240910215</v>
      </c>
      <c r="N317" s="31">
        <v>68</v>
      </c>
      <c r="O317" s="37">
        <v>1.1122106481481462</v>
      </c>
      <c r="P317" s="34">
        <v>16</v>
      </c>
      <c r="Q317" s="31">
        <v>44</v>
      </c>
      <c r="R317" s="35">
        <v>0</v>
      </c>
      <c r="S317" s="31">
        <v>98.93</v>
      </c>
      <c r="T317" s="34">
        <v>1.07</v>
      </c>
      <c r="U317" s="31">
        <v>88.622062824635179</v>
      </c>
      <c r="V317" s="31">
        <v>0</v>
      </c>
    </row>
    <row r="318" spans="1:22" x14ac:dyDescent="0.3">
      <c r="A318" s="3" t="s">
        <v>153</v>
      </c>
      <c r="B318" s="3">
        <v>2026</v>
      </c>
      <c r="C318" s="3" t="s">
        <v>69</v>
      </c>
      <c r="D318" s="3" t="s">
        <v>68</v>
      </c>
      <c r="E318" s="4">
        <v>46166</v>
      </c>
      <c r="F318" s="4">
        <v>46196</v>
      </c>
      <c r="G318" s="9">
        <v>57.990197735338853</v>
      </c>
      <c r="H318" s="3">
        <v>39.993239817475072</v>
      </c>
      <c r="I318" s="3">
        <v>73.987493662328887</v>
      </c>
      <c r="J318" s="14">
        <v>61.989521717086362</v>
      </c>
      <c r="K318" s="3">
        <v>2.169678891330066</v>
      </c>
      <c r="L318" s="3">
        <v>5917</v>
      </c>
      <c r="M318" s="17">
        <v>34.094321446679061</v>
      </c>
      <c r="N318" s="3">
        <v>145</v>
      </c>
      <c r="O318" s="36">
        <v>2.4481712962963011</v>
      </c>
      <c r="P318" s="14">
        <v>17</v>
      </c>
      <c r="Q318" s="3">
        <v>47</v>
      </c>
      <c r="R318" s="17">
        <v>11.3</v>
      </c>
      <c r="S318" s="3">
        <v>88.7</v>
      </c>
      <c r="T318" s="14">
        <v>0</v>
      </c>
      <c r="U318" s="3">
        <v>33.995098867669427</v>
      </c>
      <c r="V318" s="3">
        <v>3</v>
      </c>
    </row>
    <row r="319" spans="1:22" x14ac:dyDescent="0.3">
      <c r="A319" s="31" t="s">
        <v>153</v>
      </c>
      <c r="B319" s="31">
        <v>2026</v>
      </c>
      <c r="C319" s="31" t="s">
        <v>70</v>
      </c>
      <c r="D319" s="31" t="s">
        <v>71</v>
      </c>
      <c r="E319" s="32">
        <v>46166</v>
      </c>
      <c r="F319" s="32">
        <v>46196</v>
      </c>
      <c r="G319" s="33">
        <v>77</v>
      </c>
      <c r="H319" s="31">
        <v>61</v>
      </c>
      <c r="I319" s="31">
        <v>88</v>
      </c>
      <c r="J319" s="34">
        <v>81</v>
      </c>
      <c r="K319" s="31">
        <v>2.37</v>
      </c>
      <c r="L319" s="31">
        <v>5427</v>
      </c>
      <c r="M319" s="35">
        <v>29.1</v>
      </c>
      <c r="N319" s="31">
        <v>126</v>
      </c>
      <c r="O319" s="37">
        <v>1.8776041666666685</v>
      </c>
      <c r="P319" s="34">
        <v>14</v>
      </c>
      <c r="Q319" s="31">
        <v>48</v>
      </c>
      <c r="R319" s="35">
        <v>0</v>
      </c>
      <c r="S319" s="31">
        <v>100</v>
      </c>
      <c r="T319" s="34">
        <v>0</v>
      </c>
      <c r="U319" s="31">
        <v>88.5</v>
      </c>
      <c r="V319" s="31">
        <v>0</v>
      </c>
    </row>
    <row r="320" spans="1:22" x14ac:dyDescent="0.3">
      <c r="A320" s="3" t="s">
        <v>153</v>
      </c>
      <c r="B320" s="3">
        <v>2026</v>
      </c>
      <c r="C320" s="3" t="s">
        <v>72</v>
      </c>
      <c r="D320" s="3" t="s">
        <v>73</v>
      </c>
      <c r="E320" s="4">
        <v>46166</v>
      </c>
      <c r="F320" s="4">
        <v>46196</v>
      </c>
      <c r="G320" s="9">
        <v>77</v>
      </c>
      <c r="H320" s="3">
        <v>55</v>
      </c>
      <c r="I320" s="3">
        <v>87</v>
      </c>
      <c r="J320" s="14">
        <v>90</v>
      </c>
      <c r="K320" s="3">
        <v>2.3199999999999998</v>
      </c>
      <c r="L320" s="3">
        <v>5405</v>
      </c>
      <c r="M320" s="17">
        <v>29.6</v>
      </c>
      <c r="N320" s="3">
        <v>130</v>
      </c>
      <c r="O320" s="36">
        <v>1.9164699074074101</v>
      </c>
      <c r="P320" s="14">
        <v>16</v>
      </c>
      <c r="Q320" s="3">
        <v>51</v>
      </c>
      <c r="R320" s="17">
        <v>0</v>
      </c>
      <c r="S320" s="3">
        <v>98.18</v>
      </c>
      <c r="T320" s="14">
        <v>1.82</v>
      </c>
      <c r="U320" s="3">
        <v>88.5</v>
      </c>
      <c r="V320" s="3">
        <v>0</v>
      </c>
    </row>
    <row r="321" spans="1:22" x14ac:dyDescent="0.3">
      <c r="A321" s="31" t="s">
        <v>153</v>
      </c>
      <c r="B321" s="31">
        <v>2026</v>
      </c>
      <c r="C321" s="31" t="s">
        <v>74</v>
      </c>
      <c r="D321" s="31" t="s">
        <v>75</v>
      </c>
      <c r="E321" s="32">
        <v>46166</v>
      </c>
      <c r="F321" s="32">
        <v>46196</v>
      </c>
      <c r="G321" s="33">
        <v>81.03782349037823</v>
      </c>
      <c r="H321" s="31">
        <v>67.864631718646322</v>
      </c>
      <c r="I321" s="31">
        <v>82.035832780358334</v>
      </c>
      <c r="J321" s="34">
        <v>92.814863968148643</v>
      </c>
      <c r="K321" s="31">
        <v>2.5170736562707368</v>
      </c>
      <c r="L321" s="31">
        <v>6028</v>
      </c>
      <c r="M321" s="35">
        <v>25.65003317850033</v>
      </c>
      <c r="N321" s="31">
        <v>102</v>
      </c>
      <c r="O321" s="37">
        <v>1.7940046296296326</v>
      </c>
      <c r="P321" s="34">
        <v>18</v>
      </c>
      <c r="Q321" s="31">
        <v>46</v>
      </c>
      <c r="R321" s="35">
        <v>100</v>
      </c>
      <c r="S321" s="31">
        <v>0</v>
      </c>
      <c r="T321" s="34">
        <v>0</v>
      </c>
      <c r="U321" s="31">
        <v>90.518911745189115</v>
      </c>
      <c r="V321" s="31">
        <v>0</v>
      </c>
    </row>
    <row r="322" spans="1:22" x14ac:dyDescent="0.3">
      <c r="A322" s="3" t="s">
        <v>153</v>
      </c>
      <c r="B322" s="3">
        <v>2026</v>
      </c>
      <c r="C322" s="3" t="s">
        <v>76</v>
      </c>
      <c r="D322" s="3" t="s">
        <v>77</v>
      </c>
      <c r="E322" s="4">
        <v>46166</v>
      </c>
      <c r="F322" s="4">
        <v>46196</v>
      </c>
      <c r="G322" s="9">
        <v>60</v>
      </c>
      <c r="H322" s="3">
        <v>51</v>
      </c>
      <c r="I322" s="3">
        <v>76</v>
      </c>
      <c r="J322" s="14">
        <v>46</v>
      </c>
      <c r="K322" s="3">
        <v>2.2400000000000002</v>
      </c>
      <c r="L322" s="3">
        <v>6004</v>
      </c>
      <c r="M322" s="17">
        <v>35.700000000000003</v>
      </c>
      <c r="N322" s="3">
        <v>166</v>
      </c>
      <c r="O322" s="36">
        <v>2.9816087962962987</v>
      </c>
      <c r="P322" s="14">
        <v>30</v>
      </c>
      <c r="Q322" s="3">
        <v>34</v>
      </c>
      <c r="R322" s="17">
        <v>0</v>
      </c>
      <c r="S322" s="3">
        <v>98.8</v>
      </c>
      <c r="T322" s="14">
        <v>1.2</v>
      </c>
      <c r="U322" s="3">
        <v>65</v>
      </c>
      <c r="V322" s="3">
        <v>1</v>
      </c>
    </row>
    <row r="323" spans="1:22" x14ac:dyDescent="0.3">
      <c r="A323" s="31" t="s">
        <v>153</v>
      </c>
      <c r="B323" s="31">
        <v>2026</v>
      </c>
      <c r="C323" s="31" t="s">
        <v>78</v>
      </c>
      <c r="D323" s="31" t="s">
        <v>79</v>
      </c>
      <c r="E323" s="32">
        <v>46166</v>
      </c>
      <c r="F323" s="32">
        <v>46196</v>
      </c>
      <c r="G323" s="33">
        <v>86</v>
      </c>
      <c r="H323" s="31">
        <v>76</v>
      </c>
      <c r="I323" s="31">
        <v>91</v>
      </c>
      <c r="J323" s="34">
        <v>90</v>
      </c>
      <c r="K323" s="31">
        <v>2.41</v>
      </c>
      <c r="L323" s="31">
        <v>6017</v>
      </c>
      <c r="M323" s="35">
        <v>21.2</v>
      </c>
      <c r="N323" s="31">
        <v>92</v>
      </c>
      <c r="O323" s="37">
        <v>1.29112268518519</v>
      </c>
      <c r="P323" s="34">
        <v>19</v>
      </c>
      <c r="Q323" s="31">
        <v>41</v>
      </c>
      <c r="R323" s="35">
        <v>21.27</v>
      </c>
      <c r="S323" s="31">
        <v>77.989999999999995</v>
      </c>
      <c r="T323" s="34">
        <v>0.74</v>
      </c>
      <c r="U323" s="31">
        <v>93</v>
      </c>
      <c r="V323" s="31">
        <v>0</v>
      </c>
    </row>
    <row r="324" spans="1:22" x14ac:dyDescent="0.3">
      <c r="A324" s="3" t="s">
        <v>153</v>
      </c>
      <c r="B324" s="3">
        <v>2026</v>
      </c>
      <c r="C324" s="3" t="s">
        <v>80</v>
      </c>
      <c r="D324" s="3" t="s">
        <v>81</v>
      </c>
      <c r="E324" s="4">
        <v>46166</v>
      </c>
      <c r="F324" s="4">
        <v>46196</v>
      </c>
      <c r="G324" s="9">
        <v>69</v>
      </c>
      <c r="H324" s="3">
        <v>57</v>
      </c>
      <c r="I324" s="3">
        <v>65</v>
      </c>
      <c r="J324" s="14">
        <v>86</v>
      </c>
      <c r="K324" s="3">
        <v>2.46</v>
      </c>
      <c r="L324" s="3">
        <v>6726</v>
      </c>
      <c r="M324" s="17">
        <v>19.699999999999996</v>
      </c>
      <c r="N324" s="3">
        <v>71</v>
      </c>
      <c r="O324" s="36">
        <v>1.3604398148148134</v>
      </c>
      <c r="P324" s="14">
        <v>17</v>
      </c>
      <c r="Q324" s="3">
        <v>43</v>
      </c>
      <c r="R324" s="17">
        <v>1.02</v>
      </c>
      <c r="S324" s="3">
        <v>98.98</v>
      </c>
      <c r="T324" s="14">
        <v>0</v>
      </c>
      <c r="U324" s="3">
        <v>84.5</v>
      </c>
      <c r="V324" s="3">
        <v>0</v>
      </c>
    </row>
    <row r="325" spans="1:22" x14ac:dyDescent="0.3">
      <c r="A325" s="31" t="s">
        <v>153</v>
      </c>
      <c r="B325" s="31">
        <v>2026</v>
      </c>
      <c r="C325" s="31" t="s">
        <v>82</v>
      </c>
      <c r="D325" s="31" t="s">
        <v>83</v>
      </c>
      <c r="E325" s="32">
        <v>46166</v>
      </c>
      <c r="F325" s="32">
        <v>46182</v>
      </c>
      <c r="G325" s="33">
        <v>85.179799874921827</v>
      </c>
      <c r="H325" s="31">
        <v>77.217010631644783</v>
      </c>
      <c r="I325" s="31">
        <v>83.649155722326455</v>
      </c>
      <c r="J325" s="34">
        <v>93.943714821763606</v>
      </c>
      <c r="K325" s="31">
        <v>2.7136116322701684</v>
      </c>
      <c r="L325" s="31">
        <v>3198</v>
      </c>
      <c r="M325" s="35">
        <v>18.014727954971857</v>
      </c>
      <c r="N325" s="31">
        <v>40</v>
      </c>
      <c r="O325" s="37">
        <v>0.63844907407407392</v>
      </c>
      <c r="P325" s="34">
        <v>10</v>
      </c>
      <c r="Q325" s="31">
        <v>23</v>
      </c>
      <c r="R325" s="35">
        <v>81.209999999999994</v>
      </c>
      <c r="S325" s="31">
        <v>18.79</v>
      </c>
      <c r="T325" s="34">
        <v>0</v>
      </c>
      <c r="U325" s="31">
        <v>92.589899937460913</v>
      </c>
      <c r="V325" s="31">
        <v>0</v>
      </c>
    </row>
    <row r="326" spans="1:22" x14ac:dyDescent="0.3">
      <c r="A326" s="3" t="s">
        <v>153</v>
      </c>
      <c r="B326" s="3">
        <v>2026</v>
      </c>
      <c r="C326" s="3" t="s">
        <v>84</v>
      </c>
      <c r="D326" s="3" t="s">
        <v>83</v>
      </c>
      <c r="E326" s="4">
        <v>46183</v>
      </c>
      <c r="F326" s="4">
        <v>46196</v>
      </c>
      <c r="G326" s="9">
        <v>79.962997224791863</v>
      </c>
      <c r="H326" s="3">
        <v>69.967622571692871</v>
      </c>
      <c r="I326" s="3">
        <v>78.963459759481964</v>
      </c>
      <c r="J326" s="14">
        <v>91.957446808510639</v>
      </c>
      <c r="K326" s="3">
        <v>1.9792923219241441</v>
      </c>
      <c r="L326" s="3">
        <v>2162</v>
      </c>
      <c r="M326" s="17">
        <v>36.883163737280292</v>
      </c>
      <c r="N326" s="3">
        <v>86</v>
      </c>
      <c r="O326" s="36">
        <v>1.2054976851851835</v>
      </c>
      <c r="P326" s="14">
        <v>4</v>
      </c>
      <c r="Q326" s="3">
        <v>28</v>
      </c>
      <c r="R326" s="17">
        <v>0.22</v>
      </c>
      <c r="S326" s="3">
        <v>99.78</v>
      </c>
      <c r="T326" s="14">
        <v>0</v>
      </c>
      <c r="U326" s="3">
        <v>89.981498612395939</v>
      </c>
      <c r="V326" s="3">
        <v>0</v>
      </c>
    </row>
    <row r="327" spans="1:22" x14ac:dyDescent="0.3">
      <c r="A327" s="31" t="s">
        <v>153</v>
      </c>
      <c r="B327" s="31">
        <v>2026</v>
      </c>
      <c r="C327" s="31" t="s">
        <v>85</v>
      </c>
      <c r="D327" s="31" t="s">
        <v>86</v>
      </c>
      <c r="E327" s="32">
        <v>46166</v>
      </c>
      <c r="F327" s="32">
        <v>46196</v>
      </c>
      <c r="G327" s="33">
        <v>76</v>
      </c>
      <c r="H327" s="31">
        <v>80</v>
      </c>
      <c r="I327" s="31">
        <v>79</v>
      </c>
      <c r="J327" s="34">
        <v>70</v>
      </c>
      <c r="K327" s="31">
        <v>2.58</v>
      </c>
      <c r="L327" s="31">
        <v>6992</v>
      </c>
      <c r="M327" s="35">
        <v>29.8</v>
      </c>
      <c r="N327" s="31">
        <v>122</v>
      </c>
      <c r="O327" s="37">
        <v>2.2846180555555593</v>
      </c>
      <c r="P327" s="34">
        <v>12</v>
      </c>
      <c r="Q327" s="31">
        <v>48</v>
      </c>
      <c r="R327" s="35">
        <v>91.94</v>
      </c>
      <c r="S327" s="31">
        <v>8.06</v>
      </c>
      <c r="T327" s="34">
        <v>0</v>
      </c>
      <c r="U327" s="31">
        <v>88</v>
      </c>
      <c r="V327" s="31">
        <v>0</v>
      </c>
    </row>
    <row r="328" spans="1:22" x14ac:dyDescent="0.3">
      <c r="A328" s="3" t="s">
        <v>153</v>
      </c>
      <c r="B328" s="3">
        <v>2026</v>
      </c>
      <c r="C328" s="3" t="s">
        <v>87</v>
      </c>
      <c r="D328" s="3" t="s">
        <v>88</v>
      </c>
      <c r="E328" s="4">
        <v>46166</v>
      </c>
      <c r="F328" s="4">
        <v>46196</v>
      </c>
      <c r="G328" s="9">
        <v>73</v>
      </c>
      <c r="H328" s="3">
        <v>46</v>
      </c>
      <c r="I328" s="3">
        <v>82</v>
      </c>
      <c r="J328" s="14">
        <v>90</v>
      </c>
      <c r="K328" s="3">
        <v>2.7199999999999998</v>
      </c>
      <c r="L328" s="3">
        <v>6184</v>
      </c>
      <c r="M328" s="17">
        <v>19.600000000000001</v>
      </c>
      <c r="N328" s="3">
        <v>73</v>
      </c>
      <c r="O328" s="36">
        <v>1.2384490740740701</v>
      </c>
      <c r="P328" s="14">
        <v>17</v>
      </c>
      <c r="Q328" s="3">
        <v>45</v>
      </c>
      <c r="R328" s="17">
        <v>100</v>
      </c>
      <c r="S328" s="3">
        <v>0</v>
      </c>
      <c r="T328" s="14">
        <v>0</v>
      </c>
      <c r="U328" s="3">
        <v>86.5</v>
      </c>
      <c r="V328" s="3">
        <v>0</v>
      </c>
    </row>
    <row r="329" spans="1:22" x14ac:dyDescent="0.3">
      <c r="A329" s="31" t="s">
        <v>153</v>
      </c>
      <c r="B329" s="31">
        <v>2026</v>
      </c>
      <c r="C329" s="31" t="s">
        <v>67</v>
      </c>
      <c r="D329" s="31" t="s">
        <v>89</v>
      </c>
      <c r="E329" s="32">
        <v>46166</v>
      </c>
      <c r="F329" s="32">
        <v>46193</v>
      </c>
      <c r="G329" s="33">
        <v>66.99584458757532</v>
      </c>
      <c r="H329" s="31">
        <v>47.990027010180761</v>
      </c>
      <c r="I329" s="31">
        <v>81.985871597756073</v>
      </c>
      <c r="J329" s="34">
        <v>70.002077706212347</v>
      </c>
      <c r="K329" s="31">
        <v>2.5995429046332847</v>
      </c>
      <c r="L329" s="31">
        <v>4813</v>
      </c>
      <c r="M329" s="35">
        <v>24.894971950966131</v>
      </c>
      <c r="N329" s="31">
        <v>67</v>
      </c>
      <c r="O329" s="37">
        <v>1.2147685185185226</v>
      </c>
      <c r="P329" s="34">
        <v>19</v>
      </c>
      <c r="Q329" s="31">
        <v>37</v>
      </c>
      <c r="R329" s="35">
        <v>17.45</v>
      </c>
      <c r="S329" s="31">
        <v>82.54</v>
      </c>
      <c r="T329" s="34">
        <v>0</v>
      </c>
      <c r="U329" s="31">
        <v>68.497922293787667</v>
      </c>
      <c r="V329" s="31">
        <v>1</v>
      </c>
    </row>
    <row r="330" spans="1:22" x14ac:dyDescent="0.3">
      <c r="A330" s="3" t="s">
        <v>153</v>
      </c>
      <c r="B330" s="3">
        <v>2026</v>
      </c>
      <c r="C330" s="3" t="s">
        <v>99</v>
      </c>
      <c r="D330" s="3" t="s">
        <v>89</v>
      </c>
      <c r="E330" s="4">
        <v>46194</v>
      </c>
      <c r="F330" s="4">
        <v>46196</v>
      </c>
      <c r="G330" s="9">
        <v>72.948026948989408</v>
      </c>
      <c r="H330" s="3">
        <v>69.797882579403279</v>
      </c>
      <c r="I330" s="3">
        <v>74.841193455245431</v>
      </c>
      <c r="J330" s="14">
        <v>73.049085659287783</v>
      </c>
      <c r="K330" s="3">
        <v>3.3433589990375361</v>
      </c>
      <c r="L330" s="3">
        <v>1039</v>
      </c>
      <c r="M330" s="17">
        <v>18.451203079884504</v>
      </c>
      <c r="N330" s="3">
        <v>9</v>
      </c>
      <c r="O330" s="36">
        <v>0.16744212962962948</v>
      </c>
      <c r="P330" s="14">
        <v>1</v>
      </c>
      <c r="Q330" s="3">
        <v>4</v>
      </c>
      <c r="R330" s="17">
        <v>7.51</v>
      </c>
      <c r="S330" s="3">
        <v>92.49</v>
      </c>
      <c r="T330" s="14">
        <v>0</v>
      </c>
      <c r="U330" s="3">
        <v>86.474013474494711</v>
      </c>
      <c r="V330" s="3">
        <v>0</v>
      </c>
    </row>
    <row r="331" spans="1:22" x14ac:dyDescent="0.3">
      <c r="A331" s="31" t="s">
        <v>153</v>
      </c>
      <c r="B331" s="31">
        <v>2026</v>
      </c>
      <c r="C331" s="31" t="s">
        <v>90</v>
      </c>
      <c r="D331" s="31" t="s">
        <v>91</v>
      </c>
      <c r="E331" s="32">
        <v>46166</v>
      </c>
      <c r="F331" s="32">
        <v>46196</v>
      </c>
      <c r="G331" s="33">
        <v>81.90625</v>
      </c>
      <c r="H331" s="31">
        <v>66.912760416666671</v>
      </c>
      <c r="I331" s="31">
        <v>88.91015625</v>
      </c>
      <c r="J331" s="34">
        <v>90.881510416666671</v>
      </c>
      <c r="K331" s="31">
        <v>2.7592708333333329</v>
      </c>
      <c r="L331" s="31">
        <v>5376</v>
      </c>
      <c r="M331" s="35">
        <v>20.473697916666669</v>
      </c>
      <c r="N331" s="31">
        <v>65</v>
      </c>
      <c r="O331" s="37">
        <v>1.1223148148148174</v>
      </c>
      <c r="P331" s="34">
        <v>19</v>
      </c>
      <c r="Q331" s="31">
        <v>46</v>
      </c>
      <c r="R331" s="35">
        <v>29.09</v>
      </c>
      <c r="S331" s="31">
        <v>70.91</v>
      </c>
      <c r="T331" s="34">
        <v>0</v>
      </c>
      <c r="U331" s="31">
        <v>90.953125</v>
      </c>
      <c r="V331" s="31">
        <v>0</v>
      </c>
    </row>
    <row r="332" spans="1:22" x14ac:dyDescent="0.3">
      <c r="A332" s="3" t="s">
        <v>153</v>
      </c>
      <c r="B332" s="3">
        <v>2026</v>
      </c>
      <c r="C332" s="3" t="s">
        <v>48</v>
      </c>
      <c r="D332" s="3" t="s">
        <v>93</v>
      </c>
      <c r="E332" s="4">
        <v>46192</v>
      </c>
      <c r="F332" s="4">
        <v>46196</v>
      </c>
      <c r="G332" s="9">
        <v>42</v>
      </c>
      <c r="H332" s="3">
        <v>38</v>
      </c>
      <c r="I332" s="3">
        <v>49</v>
      </c>
      <c r="J332" s="14">
        <v>38</v>
      </c>
      <c r="K332" s="3">
        <v>1.78</v>
      </c>
      <c r="L332" s="3">
        <v>948</v>
      </c>
      <c r="M332" s="17">
        <v>37.1</v>
      </c>
      <c r="N332" s="3">
        <v>21</v>
      </c>
      <c r="O332" s="36">
        <v>0.42689814814814803</v>
      </c>
      <c r="P332" s="14">
        <v>4</v>
      </c>
      <c r="Q332" s="3">
        <v>5</v>
      </c>
      <c r="R332" s="17"/>
      <c r="S332" s="3"/>
      <c r="T332" s="14"/>
      <c r="U332" s="3">
        <v>41</v>
      </c>
      <c r="V332" s="3">
        <v>2</v>
      </c>
    </row>
    <row r="333" spans="1:22" x14ac:dyDescent="0.3">
      <c r="A333" s="31" t="s">
        <v>153</v>
      </c>
      <c r="B333" s="31">
        <v>2026</v>
      </c>
      <c r="C333" s="31" t="s">
        <v>92</v>
      </c>
      <c r="D333" s="31" t="s">
        <v>93</v>
      </c>
      <c r="E333" s="32">
        <v>46166</v>
      </c>
      <c r="F333" s="32">
        <v>46191</v>
      </c>
      <c r="G333" s="33">
        <v>85</v>
      </c>
      <c r="H333" s="31">
        <v>63</v>
      </c>
      <c r="I333" s="31">
        <v>95</v>
      </c>
      <c r="J333" s="34">
        <v>98</v>
      </c>
      <c r="K333" s="31">
        <v>2.36</v>
      </c>
      <c r="L333" s="31">
        <v>3329</v>
      </c>
      <c r="M333" s="35">
        <v>22.7</v>
      </c>
      <c r="N333" s="31">
        <v>45</v>
      </c>
      <c r="O333" s="37">
        <v>0.72275462962963</v>
      </c>
      <c r="P333" s="34">
        <v>25</v>
      </c>
      <c r="Q333" s="31">
        <v>25</v>
      </c>
      <c r="R333" s="35">
        <v>74.33</v>
      </c>
      <c r="S333" s="31">
        <v>25.48</v>
      </c>
      <c r="T333" s="34">
        <v>0.18</v>
      </c>
      <c r="U333" s="31">
        <v>77.5</v>
      </c>
      <c r="V333" s="31">
        <v>1</v>
      </c>
    </row>
    <row r="334" spans="1:22" x14ac:dyDescent="0.3">
      <c r="A334" s="3" t="s">
        <v>153</v>
      </c>
      <c r="B334" s="3">
        <v>2026</v>
      </c>
      <c r="C334" s="3" t="s">
        <v>43</v>
      </c>
      <c r="D334" s="3" t="s">
        <v>94</v>
      </c>
      <c r="E334" s="4">
        <v>46166</v>
      </c>
      <c r="F334" s="4">
        <v>46181</v>
      </c>
      <c r="G334" s="9">
        <v>69</v>
      </c>
      <c r="H334" s="3">
        <v>62</v>
      </c>
      <c r="I334" s="3">
        <v>71</v>
      </c>
      <c r="J334" s="14">
        <v>74</v>
      </c>
      <c r="K334" s="3">
        <v>2.6</v>
      </c>
      <c r="L334" s="3">
        <v>2888</v>
      </c>
      <c r="M334" s="17">
        <v>27.9</v>
      </c>
      <c r="N334" s="3">
        <v>49</v>
      </c>
      <c r="O334" s="36">
        <v>0.96313657407407405</v>
      </c>
      <c r="P334" s="14">
        <v>8</v>
      </c>
      <c r="Q334" s="3">
        <v>25</v>
      </c>
      <c r="R334" s="17">
        <v>90.48</v>
      </c>
      <c r="S334" s="3">
        <v>9.51</v>
      </c>
      <c r="T334" s="14">
        <v>0.01</v>
      </c>
      <c r="U334" s="3">
        <v>84.5</v>
      </c>
      <c r="V334" s="3">
        <v>0</v>
      </c>
    </row>
    <row r="335" spans="1:22" x14ac:dyDescent="0.3">
      <c r="A335" s="31" t="s">
        <v>153</v>
      </c>
      <c r="B335" s="31">
        <v>2026</v>
      </c>
      <c r="C335" s="31" t="s">
        <v>58</v>
      </c>
      <c r="D335" s="31" t="s">
        <v>94</v>
      </c>
      <c r="E335" s="32">
        <v>46182</v>
      </c>
      <c r="F335" s="32">
        <v>46196</v>
      </c>
      <c r="G335" s="33">
        <v>74</v>
      </c>
      <c r="H335" s="31">
        <v>70</v>
      </c>
      <c r="I335" s="31">
        <v>89</v>
      </c>
      <c r="J335" s="34">
        <v>62</v>
      </c>
      <c r="K335" s="31">
        <v>2.36</v>
      </c>
      <c r="L335" s="31">
        <v>2359</v>
      </c>
      <c r="M335" s="35">
        <v>24.8</v>
      </c>
      <c r="N335" s="31">
        <v>36</v>
      </c>
      <c r="O335" s="37">
        <v>0.57498842592592603</v>
      </c>
      <c r="P335" s="34">
        <v>14</v>
      </c>
      <c r="Q335" s="31">
        <v>22</v>
      </c>
      <c r="R335" s="35"/>
      <c r="S335" s="31"/>
      <c r="T335" s="34"/>
      <c r="U335" s="31">
        <v>87</v>
      </c>
      <c r="V335" s="31">
        <v>0</v>
      </c>
    </row>
    <row r="336" spans="1:22" x14ac:dyDescent="0.3">
      <c r="A336" s="3" t="s">
        <v>153</v>
      </c>
      <c r="B336" s="3">
        <v>2026</v>
      </c>
      <c r="C336" s="3" t="s">
        <v>62</v>
      </c>
      <c r="D336" s="3" t="s">
        <v>95</v>
      </c>
      <c r="E336" s="4">
        <v>46168</v>
      </c>
      <c r="F336" s="4">
        <v>46174</v>
      </c>
      <c r="G336" s="9">
        <v>93</v>
      </c>
      <c r="H336" s="3">
        <v>93</v>
      </c>
      <c r="I336" s="3">
        <v>90</v>
      </c>
      <c r="J336" s="14">
        <v>96</v>
      </c>
      <c r="K336" s="3">
        <v>2.56</v>
      </c>
      <c r="L336" s="3">
        <v>1316</v>
      </c>
      <c r="M336" s="17">
        <v>22.7</v>
      </c>
      <c r="N336" s="3">
        <v>18</v>
      </c>
      <c r="O336" s="36">
        <v>0.28146990740740702</v>
      </c>
      <c r="P336" s="14">
        <v>6</v>
      </c>
      <c r="Q336" s="3">
        <v>6</v>
      </c>
      <c r="R336" s="17">
        <v>91.62</v>
      </c>
      <c r="S336" s="3">
        <v>8.3800000000000008</v>
      </c>
      <c r="T336" s="14">
        <v>0</v>
      </c>
      <c r="U336" s="3">
        <v>96.5</v>
      </c>
      <c r="V336" s="3">
        <v>0</v>
      </c>
    </row>
    <row r="337" spans="1:22" x14ac:dyDescent="0.3">
      <c r="A337" s="31" t="s">
        <v>153</v>
      </c>
      <c r="B337" s="31">
        <v>2026</v>
      </c>
      <c r="C337" s="31" t="s">
        <v>82</v>
      </c>
      <c r="D337" s="31" t="s">
        <v>95</v>
      </c>
      <c r="E337" s="32">
        <v>46183</v>
      </c>
      <c r="F337" s="32">
        <v>46196</v>
      </c>
      <c r="G337" s="33">
        <v>84.576186131386862</v>
      </c>
      <c r="H337" s="31">
        <v>78.054288321167888</v>
      </c>
      <c r="I337" s="31">
        <v>86.413321167883211</v>
      </c>
      <c r="J337" s="34">
        <v>88.576186131386862</v>
      </c>
      <c r="K337" s="31">
        <v>2.3660766423357664</v>
      </c>
      <c r="L337" s="31">
        <v>2192</v>
      </c>
      <c r="M337" s="35">
        <v>26.243932481751823</v>
      </c>
      <c r="N337" s="31">
        <v>47</v>
      </c>
      <c r="O337" s="37">
        <v>0.69836805555555559</v>
      </c>
      <c r="P337" s="34">
        <v>13</v>
      </c>
      <c r="Q337" s="31">
        <v>13</v>
      </c>
      <c r="R337" s="35"/>
      <c r="S337" s="31"/>
      <c r="T337" s="34"/>
      <c r="U337" s="31">
        <v>77.288093065693431</v>
      </c>
      <c r="V337" s="31">
        <v>1</v>
      </c>
    </row>
    <row r="338" spans="1:22" x14ac:dyDescent="0.3">
      <c r="A338" s="3" t="s">
        <v>153</v>
      </c>
      <c r="B338" s="3">
        <v>2026</v>
      </c>
      <c r="C338" s="3" t="s">
        <v>84</v>
      </c>
      <c r="D338" s="3" t="s">
        <v>95</v>
      </c>
      <c r="E338" s="4">
        <v>46175</v>
      </c>
      <c r="F338" s="4">
        <v>46182</v>
      </c>
      <c r="G338" s="9">
        <v>78.212059274399593</v>
      </c>
      <c r="H338" s="3">
        <v>54.158916709248849</v>
      </c>
      <c r="I338" s="3">
        <v>85.991824220746039</v>
      </c>
      <c r="J338" s="14">
        <v>93.891159938681653</v>
      </c>
      <c r="K338" s="3">
        <v>3.0430556974961678</v>
      </c>
      <c r="L338" s="3">
        <v>1957</v>
      </c>
      <c r="M338" s="17">
        <v>20.727031170158405</v>
      </c>
      <c r="N338" s="3">
        <v>30</v>
      </c>
      <c r="O338" s="36">
        <v>0.48341435185185211</v>
      </c>
      <c r="P338" s="14">
        <v>7</v>
      </c>
      <c r="Q338" s="3">
        <v>8</v>
      </c>
      <c r="R338" s="17"/>
      <c r="S338" s="3"/>
      <c r="T338" s="14"/>
      <c r="U338" s="3">
        <v>74.106029637199796</v>
      </c>
      <c r="V338" s="3">
        <v>1</v>
      </c>
    </row>
    <row r="339" spans="1:22" x14ac:dyDescent="0.3">
      <c r="A339" s="31" t="s">
        <v>153</v>
      </c>
      <c r="B339" s="31">
        <v>2026</v>
      </c>
      <c r="C339" s="31" t="s">
        <v>98</v>
      </c>
      <c r="D339" s="31" t="s">
        <v>97</v>
      </c>
      <c r="E339" s="32">
        <v>46166</v>
      </c>
      <c r="F339" s="32">
        <v>46196</v>
      </c>
      <c r="G339" s="33">
        <v>69</v>
      </c>
      <c r="H339" s="31">
        <v>56</v>
      </c>
      <c r="I339" s="31">
        <v>78</v>
      </c>
      <c r="J339" s="34">
        <v>72</v>
      </c>
      <c r="K339" s="31">
        <v>2.63</v>
      </c>
      <c r="L339" s="31">
        <v>9437</v>
      </c>
      <c r="M339" s="35">
        <v>31.4</v>
      </c>
      <c r="N339" s="31">
        <v>163</v>
      </c>
      <c r="O339" s="31" t="s">
        <v>150</v>
      </c>
      <c r="P339" s="34">
        <v>30</v>
      </c>
      <c r="Q339" s="31">
        <v>33</v>
      </c>
      <c r="R339" s="35">
        <v>98.26</v>
      </c>
      <c r="S339" s="31">
        <v>1.67</v>
      </c>
      <c r="T339" s="34">
        <v>7.0000000000000007E-2</v>
      </c>
      <c r="U339" s="31">
        <v>69.5</v>
      </c>
      <c r="V339" s="31">
        <v>1</v>
      </c>
    </row>
    <row r="340" spans="1:22" x14ac:dyDescent="0.3">
      <c r="A340" s="3" t="s">
        <v>153</v>
      </c>
      <c r="B340" s="3">
        <v>2026</v>
      </c>
      <c r="C340" s="3" t="s">
        <v>99</v>
      </c>
      <c r="D340" s="3" t="s">
        <v>100</v>
      </c>
      <c r="E340" s="4">
        <v>46166</v>
      </c>
      <c r="F340" s="4">
        <v>46193</v>
      </c>
      <c r="G340" s="9">
        <v>62.994830017233276</v>
      </c>
      <c r="H340" s="3">
        <v>58.990756697477678</v>
      </c>
      <c r="I340" s="3">
        <v>73.993106689644364</v>
      </c>
      <c r="J340" s="14">
        <v>56.991070029766568</v>
      </c>
      <c r="K340" s="3">
        <v>2.4497117342942194</v>
      </c>
      <c r="L340" s="3">
        <v>6383</v>
      </c>
      <c r="M340" s="17">
        <v>18.897101676327743</v>
      </c>
      <c r="N340" s="3">
        <v>81</v>
      </c>
      <c r="O340" s="36">
        <v>1.2700462962962944</v>
      </c>
      <c r="P340" s="14">
        <v>18</v>
      </c>
      <c r="Q340" s="3">
        <v>36</v>
      </c>
      <c r="R340" s="17">
        <v>23.03</v>
      </c>
      <c r="S340" s="3">
        <v>74.510000000000005</v>
      </c>
      <c r="T340" s="14">
        <v>2.4500000000000002</v>
      </c>
      <c r="U340" s="3">
        <v>81.497415008616642</v>
      </c>
      <c r="V340" s="3">
        <v>0</v>
      </c>
    </row>
    <row r="341" spans="1:22" x14ac:dyDescent="0.3">
      <c r="A341" s="31" t="s">
        <v>153</v>
      </c>
      <c r="B341" s="31">
        <v>2026</v>
      </c>
      <c r="C341" s="31" t="s">
        <v>101</v>
      </c>
      <c r="D341" s="31" t="s">
        <v>102</v>
      </c>
      <c r="E341" s="32">
        <v>46166</v>
      </c>
      <c r="F341" s="32">
        <v>46196</v>
      </c>
      <c r="G341" s="33">
        <v>82.293843766166574</v>
      </c>
      <c r="H341" s="31">
        <v>60.861355406104501</v>
      </c>
      <c r="I341" s="31">
        <v>92.055095706156237</v>
      </c>
      <c r="J341" s="34">
        <v>93.128556647697877</v>
      </c>
      <c r="K341" s="31">
        <v>2.8478789446456285</v>
      </c>
      <c r="L341" s="31">
        <v>7732</v>
      </c>
      <c r="M341" s="35">
        <v>22.601474392136577</v>
      </c>
      <c r="N341" s="31">
        <v>94</v>
      </c>
      <c r="O341" s="37">
        <v>1.458391203703707</v>
      </c>
      <c r="P341" s="34">
        <v>30</v>
      </c>
      <c r="Q341" s="31">
        <v>30</v>
      </c>
      <c r="R341" s="35">
        <v>100</v>
      </c>
      <c r="S341" s="31">
        <v>0</v>
      </c>
      <c r="T341" s="34">
        <v>0</v>
      </c>
      <c r="U341" s="31">
        <v>76.14692188308328</v>
      </c>
      <c r="V341" s="31">
        <v>1</v>
      </c>
    </row>
    <row r="342" spans="1:22" x14ac:dyDescent="0.3">
      <c r="A342" s="3" t="s">
        <v>153</v>
      </c>
      <c r="B342" s="3">
        <v>2026</v>
      </c>
      <c r="C342" s="3" t="s">
        <v>96</v>
      </c>
      <c r="D342" s="3" t="s">
        <v>104</v>
      </c>
      <c r="E342" s="4">
        <v>46168</v>
      </c>
      <c r="F342" s="4">
        <v>46177</v>
      </c>
      <c r="G342" s="9"/>
      <c r="H342" s="3"/>
      <c r="I342" s="3"/>
      <c r="J342" s="14"/>
      <c r="K342" s="3"/>
      <c r="L342" s="3"/>
      <c r="M342" s="17"/>
      <c r="N342" s="3"/>
      <c r="O342" s="3"/>
      <c r="P342" s="14">
        <v>9</v>
      </c>
      <c r="Q342" s="3">
        <v>9</v>
      </c>
      <c r="R342" s="17" t="s">
        <v>47</v>
      </c>
      <c r="S342" s="3" t="s">
        <v>47</v>
      </c>
      <c r="T342" s="14" t="s">
        <v>47</v>
      </c>
      <c r="U342" s="3">
        <v>50</v>
      </c>
      <c r="V342" s="3"/>
    </row>
    <row r="343" spans="1:22" x14ac:dyDescent="0.3">
      <c r="A343" s="31" t="s">
        <v>153</v>
      </c>
      <c r="B343" s="31">
        <v>2026</v>
      </c>
      <c r="C343" s="31" t="s">
        <v>103</v>
      </c>
      <c r="D343" s="31" t="s">
        <v>104</v>
      </c>
      <c r="E343" s="32">
        <v>46188</v>
      </c>
      <c r="F343" s="32">
        <v>46196</v>
      </c>
      <c r="G343" s="33"/>
      <c r="H343" s="31"/>
      <c r="I343" s="31"/>
      <c r="J343" s="34"/>
      <c r="K343" s="31"/>
      <c r="L343" s="31"/>
      <c r="M343" s="35"/>
      <c r="N343" s="31"/>
      <c r="O343" s="31"/>
      <c r="P343" s="34">
        <v>8</v>
      </c>
      <c r="Q343" s="31">
        <v>9</v>
      </c>
      <c r="R343" s="35"/>
      <c r="S343" s="31"/>
      <c r="T343" s="34"/>
      <c r="U343" s="31">
        <v>50</v>
      </c>
      <c r="V343" s="31"/>
    </row>
    <row r="344" spans="1:22" x14ac:dyDescent="0.3">
      <c r="A344" s="3" t="s">
        <v>153</v>
      </c>
      <c r="B344" s="3">
        <v>2026</v>
      </c>
      <c r="C344" s="3" t="s">
        <v>62</v>
      </c>
      <c r="D344" s="3" t="s">
        <v>105</v>
      </c>
      <c r="E344" s="4">
        <v>46175</v>
      </c>
      <c r="F344" s="4">
        <v>46179</v>
      </c>
      <c r="G344" s="9">
        <v>96</v>
      </c>
      <c r="H344" s="3">
        <v>94</v>
      </c>
      <c r="I344" s="3">
        <v>94</v>
      </c>
      <c r="J344" s="14">
        <v>99</v>
      </c>
      <c r="K344" s="3">
        <v>2.0499999999999998</v>
      </c>
      <c r="L344" s="3">
        <v>977</v>
      </c>
      <c r="M344" s="17">
        <v>24.8</v>
      </c>
      <c r="N344" s="3">
        <v>22</v>
      </c>
      <c r="O344" s="36">
        <v>0.29836805555555601</v>
      </c>
      <c r="P344" s="14">
        <v>4</v>
      </c>
      <c r="Q344" s="3">
        <v>7</v>
      </c>
      <c r="R344" s="17"/>
      <c r="S344" s="3"/>
      <c r="T344" s="14"/>
      <c r="U344" s="3">
        <v>98</v>
      </c>
      <c r="V344" s="3">
        <v>0</v>
      </c>
    </row>
    <row r="345" spans="1:22" x14ac:dyDescent="0.3">
      <c r="A345" s="31" t="s">
        <v>153</v>
      </c>
      <c r="B345" s="31">
        <v>2026</v>
      </c>
      <c r="C345" s="31" t="s">
        <v>96</v>
      </c>
      <c r="D345" s="31" t="s">
        <v>105</v>
      </c>
      <c r="E345" s="32">
        <v>46180</v>
      </c>
      <c r="F345" s="32">
        <v>46196</v>
      </c>
      <c r="G345" s="33">
        <v>75.810055865921782</v>
      </c>
      <c r="H345" s="31">
        <v>64.019338203695739</v>
      </c>
      <c r="I345" s="31">
        <v>79.806188225182638</v>
      </c>
      <c r="J345" s="34">
        <v>85.205414697034811</v>
      </c>
      <c r="K345" s="31">
        <v>3.2272840567253978</v>
      </c>
      <c r="L345" s="31">
        <v>2327</v>
      </c>
      <c r="M345" s="35">
        <v>20.746540610227761</v>
      </c>
      <c r="N345" s="31">
        <v>43</v>
      </c>
      <c r="O345" s="37">
        <v>0.65244212962963011</v>
      </c>
      <c r="P345" s="34">
        <v>16</v>
      </c>
      <c r="Q345" s="31">
        <v>16</v>
      </c>
      <c r="R345" s="35"/>
      <c r="S345" s="31"/>
      <c r="T345" s="34"/>
      <c r="U345" s="31">
        <v>87.905027932960891</v>
      </c>
      <c r="V345" s="31">
        <v>0</v>
      </c>
    </row>
    <row r="346" spans="1:22" x14ac:dyDescent="0.3">
      <c r="A346" s="3" t="s">
        <v>153</v>
      </c>
      <c r="B346" s="3">
        <v>2026</v>
      </c>
      <c r="C346" s="3" t="s">
        <v>84</v>
      </c>
      <c r="D346" s="3" t="s">
        <v>105</v>
      </c>
      <c r="E346" s="4">
        <v>46166</v>
      </c>
      <c r="F346" s="4">
        <v>46174</v>
      </c>
      <c r="G346" s="9">
        <v>70.140109890109883</v>
      </c>
      <c r="H346" s="3">
        <v>52.504945054945054</v>
      </c>
      <c r="I346" s="3">
        <v>80.990659340659334</v>
      </c>
      <c r="J346" s="14">
        <v>76.140109890109883</v>
      </c>
      <c r="K346" s="3">
        <v>2.3565439560439558</v>
      </c>
      <c r="L346" s="3">
        <v>1820</v>
      </c>
      <c r="M346" s="17">
        <v>26.391703296703298</v>
      </c>
      <c r="N346" s="3">
        <v>32</v>
      </c>
      <c r="O346" s="36">
        <v>0.5943055555555552</v>
      </c>
      <c r="P346" s="14">
        <v>8</v>
      </c>
      <c r="Q346" s="3">
        <v>10</v>
      </c>
      <c r="R346" s="17">
        <v>22.86</v>
      </c>
      <c r="S346" s="3">
        <v>75.78</v>
      </c>
      <c r="T346" s="14">
        <v>1.37</v>
      </c>
      <c r="U346" s="3">
        <v>70.070054945054949</v>
      </c>
      <c r="V346" s="3">
        <v>1</v>
      </c>
    </row>
    <row r="347" spans="1:22" x14ac:dyDescent="0.3">
      <c r="A347" s="31" t="s">
        <v>153</v>
      </c>
      <c r="B347" s="31">
        <v>2026</v>
      </c>
      <c r="C347" s="31" t="s">
        <v>106</v>
      </c>
      <c r="D347" s="31" t="s">
        <v>107</v>
      </c>
      <c r="E347" s="32">
        <v>46166</v>
      </c>
      <c r="F347" s="32">
        <v>46196</v>
      </c>
      <c r="G347" s="33">
        <v>66.990065243179117</v>
      </c>
      <c r="H347" s="31">
        <v>42.993623962040331</v>
      </c>
      <c r="I347" s="31">
        <v>85.987247924080663</v>
      </c>
      <c r="J347" s="34">
        <v>69.989620403321467</v>
      </c>
      <c r="K347" s="31">
        <v>2.4496960260972722</v>
      </c>
      <c r="L347" s="31">
        <v>6744</v>
      </c>
      <c r="M347" s="35">
        <v>27.995922301304862</v>
      </c>
      <c r="N347" s="31">
        <v>94</v>
      </c>
      <c r="O347" s="37">
        <v>1.9107060185185147</v>
      </c>
      <c r="P347" s="34">
        <v>30</v>
      </c>
      <c r="Q347" s="31">
        <v>30</v>
      </c>
      <c r="R347" s="35">
        <v>68.63</v>
      </c>
      <c r="S347" s="31">
        <v>28.14</v>
      </c>
      <c r="T347" s="34">
        <v>3.22</v>
      </c>
      <c r="U347" s="31">
        <v>83.495032621589559</v>
      </c>
      <c r="V347" s="31">
        <v>0</v>
      </c>
    </row>
    <row r="348" spans="1:22" x14ac:dyDescent="0.3">
      <c r="A348" s="3" t="s">
        <v>153</v>
      </c>
      <c r="B348" s="3">
        <v>2026</v>
      </c>
      <c r="C348" s="3" t="s">
        <v>108</v>
      </c>
      <c r="D348" s="3" t="s">
        <v>109</v>
      </c>
      <c r="E348" s="4">
        <v>46166</v>
      </c>
      <c r="F348" s="4">
        <v>46196</v>
      </c>
      <c r="G348" s="9">
        <v>77</v>
      </c>
      <c r="H348" s="3">
        <v>0</v>
      </c>
      <c r="I348" s="3">
        <v>0</v>
      </c>
      <c r="J348" s="14">
        <v>0</v>
      </c>
      <c r="K348" s="3">
        <v>2.4411887896519864</v>
      </c>
      <c r="L348" s="3">
        <v>6494</v>
      </c>
      <c r="M348" s="17">
        <v>40.291869417924239</v>
      </c>
      <c r="N348" s="3">
        <v>188</v>
      </c>
      <c r="O348" s="36">
        <v>4.6871064814814805</v>
      </c>
      <c r="P348" s="14">
        <v>30</v>
      </c>
      <c r="Q348" s="3">
        <v>30</v>
      </c>
      <c r="R348" s="17">
        <v>100</v>
      </c>
      <c r="S348" s="3">
        <v>0</v>
      </c>
      <c r="T348" s="14">
        <v>0</v>
      </c>
      <c r="U348" s="3">
        <v>73.5</v>
      </c>
      <c r="V348" s="3">
        <v>1</v>
      </c>
    </row>
    <row r="349" spans="1:22" x14ac:dyDescent="0.3">
      <c r="A349" s="31" t="s">
        <v>153</v>
      </c>
      <c r="B349" s="31">
        <v>2026</v>
      </c>
      <c r="C349" s="31" t="s">
        <v>110</v>
      </c>
      <c r="D349" s="31" t="s">
        <v>111</v>
      </c>
      <c r="E349" s="32">
        <v>46166</v>
      </c>
      <c r="F349" s="32">
        <v>46186</v>
      </c>
      <c r="G349" s="33">
        <v>50</v>
      </c>
      <c r="H349" s="31">
        <v>10</v>
      </c>
      <c r="I349" s="31">
        <v>7</v>
      </c>
      <c r="J349" s="34">
        <v>83</v>
      </c>
      <c r="K349" s="31">
        <v>2.68</v>
      </c>
      <c r="L349" s="31">
        <v>7361</v>
      </c>
      <c r="M349" s="35">
        <v>23.3</v>
      </c>
      <c r="N349" s="31">
        <v>134</v>
      </c>
      <c r="O349" s="37">
        <v>1.45708333333333</v>
      </c>
      <c r="P349" s="34"/>
      <c r="Q349" s="31"/>
      <c r="R349" s="35">
        <v>34.450000000000003</v>
      </c>
      <c r="S349" s="31">
        <v>65.23</v>
      </c>
      <c r="T349" s="34">
        <v>0.32</v>
      </c>
      <c r="U349" s="31"/>
      <c r="V349" s="31"/>
    </row>
    <row r="350" spans="1:22" x14ac:dyDescent="0.3">
      <c r="A350" s="3" t="s">
        <v>153</v>
      </c>
      <c r="B350" s="3">
        <v>2026</v>
      </c>
      <c r="C350" s="3" t="s">
        <v>110</v>
      </c>
      <c r="D350" s="3" t="s">
        <v>111</v>
      </c>
      <c r="E350" s="4">
        <v>46188</v>
      </c>
      <c r="F350" s="4">
        <v>46196</v>
      </c>
      <c r="G350" s="9">
        <v>48</v>
      </c>
      <c r="H350" s="3">
        <v>12</v>
      </c>
      <c r="I350" s="3">
        <v>12</v>
      </c>
      <c r="J350" s="14">
        <v>67</v>
      </c>
      <c r="K350" s="3">
        <v>2.8</v>
      </c>
      <c r="L350" s="3">
        <v>3596</v>
      </c>
      <c r="M350" s="17">
        <v>23.9</v>
      </c>
      <c r="N350" s="3">
        <v>68</v>
      </c>
      <c r="O350" s="36">
        <v>0.74719907407407404</v>
      </c>
      <c r="P350" s="14"/>
      <c r="Q350" s="3"/>
      <c r="R350" s="17">
        <v>99.99</v>
      </c>
      <c r="S350" s="3">
        <v>0.01</v>
      </c>
      <c r="T350" s="14">
        <v>0</v>
      </c>
      <c r="U350" s="3"/>
      <c r="V350" s="3"/>
    </row>
    <row r="351" spans="1:22" x14ac:dyDescent="0.3">
      <c r="A351" s="3" t="s">
        <v>153</v>
      </c>
      <c r="B351" s="3">
        <v>2026</v>
      </c>
      <c r="C351" s="3" t="s">
        <v>151</v>
      </c>
      <c r="D351" s="3" t="s">
        <v>114</v>
      </c>
      <c r="E351" s="4">
        <v>46166</v>
      </c>
      <c r="F351" s="4">
        <v>46196</v>
      </c>
      <c r="G351" s="9">
        <v>56.885405854266139</v>
      </c>
      <c r="H351" s="3">
        <v>21.870043595598922</v>
      </c>
      <c r="I351" s="3">
        <v>53.183101515466056</v>
      </c>
      <c r="J351" s="14">
        <v>63.893086983599751</v>
      </c>
      <c r="K351" s="3">
        <v>2.5241997093626738</v>
      </c>
      <c r="L351" s="3">
        <v>4817</v>
      </c>
      <c r="M351" s="17">
        <v>24.824392775586468</v>
      </c>
      <c r="N351" s="3">
        <v>159</v>
      </c>
      <c r="O351" s="36">
        <v>1.897256944444446</v>
      </c>
      <c r="P351" s="14">
        <v>17</v>
      </c>
      <c r="Q351" s="3">
        <v>47</v>
      </c>
      <c r="R351" s="17">
        <v>0</v>
      </c>
      <c r="S351" s="3">
        <v>99.71</v>
      </c>
      <c r="T351" s="14">
        <v>0.28999999999999998</v>
      </c>
      <c r="U351" s="3">
        <v>78.44270292713307</v>
      </c>
      <c r="V351" s="3">
        <v>0</v>
      </c>
    </row>
    <row r="352" spans="1:22" x14ac:dyDescent="0.3">
      <c r="A352" s="31" t="s">
        <v>153</v>
      </c>
      <c r="B352" s="31">
        <v>2026</v>
      </c>
      <c r="C352" s="31" t="s">
        <v>110</v>
      </c>
      <c r="D352" s="31" t="s">
        <v>111</v>
      </c>
      <c r="E352" s="32">
        <v>46166</v>
      </c>
      <c r="F352" s="32">
        <v>46196</v>
      </c>
      <c r="G352" s="33">
        <v>49</v>
      </c>
      <c r="H352" s="31"/>
      <c r="I352" s="31"/>
      <c r="J352" s="34"/>
      <c r="K352" s="31">
        <v>2.71</v>
      </c>
      <c r="L352" s="31">
        <v>11457</v>
      </c>
      <c r="M352" s="35">
        <v>23.4</v>
      </c>
      <c r="N352" s="31">
        <v>212</v>
      </c>
      <c r="O352" s="37">
        <v>2.2942592592592601</v>
      </c>
      <c r="P352" s="34">
        <v>30</v>
      </c>
      <c r="Q352" s="31">
        <v>36</v>
      </c>
      <c r="R352" s="35"/>
      <c r="S352" s="31"/>
      <c r="T352" s="34"/>
      <c r="U352" s="31">
        <v>44.5</v>
      </c>
      <c r="V352" s="31">
        <v>2</v>
      </c>
    </row>
    <row r="353" spans="1:22" x14ac:dyDescent="0.3">
      <c r="A353" s="3" t="s">
        <v>153</v>
      </c>
      <c r="B353" s="3">
        <v>2026</v>
      </c>
      <c r="C353" s="3" t="s">
        <v>117</v>
      </c>
      <c r="D353" s="3" t="s">
        <v>116</v>
      </c>
      <c r="E353" s="4">
        <v>46166</v>
      </c>
      <c r="F353" s="4">
        <v>46173</v>
      </c>
      <c r="G353" s="9">
        <v>53</v>
      </c>
      <c r="H353" s="3">
        <v>42</v>
      </c>
      <c r="I353" s="3">
        <v>78</v>
      </c>
      <c r="J353" s="14">
        <v>37</v>
      </c>
      <c r="K353" s="3">
        <v>2.93</v>
      </c>
      <c r="L353" s="3">
        <v>972</v>
      </c>
      <c r="M353" s="17">
        <v>25.9</v>
      </c>
      <c r="N353" s="3">
        <v>14</v>
      </c>
      <c r="O353" s="36">
        <v>0.31614583333333302</v>
      </c>
      <c r="P353" s="14">
        <v>4</v>
      </c>
      <c r="Q353" s="3">
        <v>10</v>
      </c>
      <c r="R353" s="17">
        <v>0</v>
      </c>
      <c r="S353" s="3">
        <v>97.68</v>
      </c>
      <c r="T353" s="14">
        <v>0</v>
      </c>
      <c r="U353" s="3">
        <v>76.5</v>
      </c>
      <c r="V353" s="3">
        <v>0</v>
      </c>
    </row>
    <row r="354" spans="1:22" x14ac:dyDescent="0.3">
      <c r="A354" s="31" t="s">
        <v>153</v>
      </c>
      <c r="B354" s="31">
        <v>2026</v>
      </c>
      <c r="C354" s="31" t="s">
        <v>152</v>
      </c>
      <c r="D354" s="31" t="s">
        <v>119</v>
      </c>
      <c r="E354" s="32">
        <v>46188</v>
      </c>
      <c r="F354" s="32">
        <v>46196</v>
      </c>
      <c r="G354" s="33">
        <v>45</v>
      </c>
      <c r="H354" s="31">
        <v>58</v>
      </c>
      <c r="I354" s="31">
        <v>43</v>
      </c>
      <c r="J354" s="34">
        <v>33</v>
      </c>
      <c r="K354" s="31">
        <v>2.2799999999999998</v>
      </c>
      <c r="L354" s="31">
        <v>999</v>
      </c>
      <c r="M354" s="35">
        <v>38.6</v>
      </c>
      <c r="N354" s="31">
        <v>28</v>
      </c>
      <c r="O354" s="37">
        <v>0.44733796296296302</v>
      </c>
      <c r="P354" s="34">
        <v>8</v>
      </c>
      <c r="Q354" s="31">
        <v>8</v>
      </c>
      <c r="R354" s="35">
        <v>0</v>
      </c>
      <c r="S354" s="31">
        <v>100</v>
      </c>
      <c r="T354" s="34">
        <v>0</v>
      </c>
      <c r="U354" s="31">
        <v>57.5</v>
      </c>
      <c r="V354" s="31">
        <v>1</v>
      </c>
    </row>
    <row r="355" spans="1:22" x14ac:dyDescent="0.3">
      <c r="A355" s="3" t="s">
        <v>153</v>
      </c>
      <c r="B355" s="3">
        <v>2026</v>
      </c>
      <c r="C355" s="3" t="s">
        <v>118</v>
      </c>
      <c r="D355" s="3" t="s">
        <v>119</v>
      </c>
      <c r="E355" s="4">
        <v>46166</v>
      </c>
      <c r="F355" s="4">
        <v>46186</v>
      </c>
      <c r="G355" s="9">
        <v>44</v>
      </c>
      <c r="H355" s="3">
        <v>30</v>
      </c>
      <c r="I355" s="3">
        <v>60</v>
      </c>
      <c r="J355" s="14">
        <v>42</v>
      </c>
      <c r="K355" s="3">
        <v>2.23</v>
      </c>
      <c r="L355" s="3">
        <v>2792</v>
      </c>
      <c r="M355" s="17">
        <v>38.299999999999997</v>
      </c>
      <c r="N355" s="3">
        <v>76</v>
      </c>
      <c r="O355" s="36">
        <v>1.2778240740740701</v>
      </c>
      <c r="P355" s="14">
        <v>14</v>
      </c>
      <c r="Q355" s="3">
        <v>28</v>
      </c>
      <c r="R355" s="17">
        <v>79.87</v>
      </c>
      <c r="S355" s="3">
        <v>20.13</v>
      </c>
      <c r="T355" s="14">
        <v>0</v>
      </c>
      <c r="U355" s="3">
        <v>57</v>
      </c>
      <c r="V355" s="3">
        <v>1</v>
      </c>
    </row>
    <row r="356" spans="1:22" x14ac:dyDescent="0.3">
      <c r="A356" s="31" t="s">
        <v>153</v>
      </c>
      <c r="B356" s="31">
        <v>2026</v>
      </c>
      <c r="C356" s="31" t="s">
        <v>117</v>
      </c>
      <c r="D356" s="31" t="s">
        <v>120</v>
      </c>
      <c r="E356" s="32">
        <v>46174</v>
      </c>
      <c r="F356" s="32">
        <v>46196</v>
      </c>
      <c r="G356" s="33">
        <v>65</v>
      </c>
      <c r="H356" s="31">
        <v>55</v>
      </c>
      <c r="I356" s="31">
        <v>78</v>
      </c>
      <c r="J356" s="34">
        <v>63</v>
      </c>
      <c r="K356" s="31">
        <v>2.0499999999999998</v>
      </c>
      <c r="L356" s="31">
        <v>4189</v>
      </c>
      <c r="M356" s="35">
        <v>23.7</v>
      </c>
      <c r="N356" s="31">
        <v>58</v>
      </c>
      <c r="O356" s="37">
        <v>0.97515046296296304</v>
      </c>
      <c r="P356" s="34">
        <v>20</v>
      </c>
      <c r="Q356" s="31">
        <v>24</v>
      </c>
      <c r="R356" s="35">
        <v>0.19</v>
      </c>
      <c r="S356" s="31">
        <v>99.08</v>
      </c>
      <c r="T356" s="34">
        <v>0.71</v>
      </c>
      <c r="U356" s="31">
        <v>82.5</v>
      </c>
      <c r="V356" s="31">
        <v>0</v>
      </c>
    </row>
    <row r="357" spans="1:22" x14ac:dyDescent="0.3">
      <c r="A357" s="3" t="s">
        <v>153</v>
      </c>
      <c r="B357" s="3">
        <v>2026</v>
      </c>
      <c r="C357" s="3" t="s">
        <v>113</v>
      </c>
      <c r="D357" s="3" t="s">
        <v>122</v>
      </c>
      <c r="E357" s="4">
        <v>46166</v>
      </c>
      <c r="F357" s="4">
        <v>46196</v>
      </c>
      <c r="G357" s="9">
        <v>65</v>
      </c>
      <c r="H357" s="3">
        <v>57</v>
      </c>
      <c r="I357" s="3">
        <v>72</v>
      </c>
      <c r="J357" s="14">
        <v>0</v>
      </c>
      <c r="K357" s="3">
        <v>2.08</v>
      </c>
      <c r="L357" s="3">
        <v>5609</v>
      </c>
      <c r="M357" s="17">
        <v>23.2</v>
      </c>
      <c r="N357" s="3">
        <v>92</v>
      </c>
      <c r="O357" s="36">
        <v>1.48166666666667</v>
      </c>
      <c r="P357" s="14">
        <v>13</v>
      </c>
      <c r="Q357" s="3">
        <v>47</v>
      </c>
      <c r="R357" s="17">
        <v>0</v>
      </c>
      <c r="S357" s="3">
        <v>100</v>
      </c>
      <c r="T357" s="14">
        <v>0</v>
      </c>
      <c r="U357" s="3">
        <v>82.5</v>
      </c>
      <c r="V357" s="3">
        <v>0</v>
      </c>
    </row>
    <row r="358" spans="1:22" x14ac:dyDescent="0.3">
      <c r="A358" s="31" t="s">
        <v>153</v>
      </c>
      <c r="B358" s="31">
        <v>2026</v>
      </c>
      <c r="C358" s="31" t="s">
        <v>128</v>
      </c>
      <c r="D358" s="31" t="s">
        <v>123</v>
      </c>
      <c r="E358" s="32">
        <v>46194</v>
      </c>
      <c r="F358" s="32">
        <v>46196</v>
      </c>
      <c r="G358" s="33">
        <v>39</v>
      </c>
      <c r="H358" s="31">
        <v>0</v>
      </c>
      <c r="I358" s="31">
        <v>17</v>
      </c>
      <c r="J358" s="34">
        <v>100</v>
      </c>
      <c r="K358" s="31">
        <v>3.13</v>
      </c>
      <c r="L358" s="31">
        <v>970</v>
      </c>
      <c r="M358" s="35">
        <v>16.899999999999999</v>
      </c>
      <c r="N358" s="31">
        <v>6</v>
      </c>
      <c r="O358" s="37">
        <v>0.122928240740741</v>
      </c>
      <c r="P358" s="34">
        <v>2</v>
      </c>
      <c r="Q358" s="31">
        <v>7</v>
      </c>
      <c r="R358" s="35">
        <v>77.94</v>
      </c>
      <c r="S358" s="31">
        <v>22.06</v>
      </c>
      <c r="T358" s="34">
        <v>0</v>
      </c>
      <c r="U358" s="31">
        <v>69.5</v>
      </c>
      <c r="V358" s="31">
        <v>0</v>
      </c>
    </row>
    <row r="359" spans="1:22" x14ac:dyDescent="0.3">
      <c r="A359" s="3" t="s">
        <v>153</v>
      </c>
      <c r="B359" s="3">
        <v>2026</v>
      </c>
      <c r="C359" s="3" t="s">
        <v>121</v>
      </c>
      <c r="D359" s="3" t="s">
        <v>123</v>
      </c>
      <c r="E359" s="4">
        <v>46166</v>
      </c>
      <c r="F359" s="4">
        <v>46193</v>
      </c>
      <c r="G359" s="9">
        <v>81</v>
      </c>
      <c r="H359" s="3">
        <v>67</v>
      </c>
      <c r="I359" s="3">
        <v>88</v>
      </c>
      <c r="J359" s="14">
        <v>89</v>
      </c>
      <c r="K359" s="3">
        <v>2.85</v>
      </c>
      <c r="L359" s="3">
        <v>5124</v>
      </c>
      <c r="M359" s="17">
        <v>19.399999999999999</v>
      </c>
      <c r="N359" s="3">
        <v>38</v>
      </c>
      <c r="O359" s="36">
        <v>0.90569444444444402</v>
      </c>
      <c r="P359" s="14">
        <v>18</v>
      </c>
      <c r="Q359" s="3">
        <v>39</v>
      </c>
      <c r="R359" s="17">
        <v>37.380000000000003</v>
      </c>
      <c r="S359" s="3">
        <v>33.9</v>
      </c>
      <c r="T359" s="14">
        <v>0.47</v>
      </c>
      <c r="U359" s="3">
        <v>45.5</v>
      </c>
      <c r="V359" s="3">
        <v>3</v>
      </c>
    </row>
    <row r="360" spans="1:22" x14ac:dyDescent="0.3">
      <c r="A360" s="31" t="s">
        <v>153</v>
      </c>
      <c r="B360" s="31">
        <v>2026</v>
      </c>
      <c r="C360" s="31" t="s">
        <v>124</v>
      </c>
      <c r="D360" s="31" t="s">
        <v>125</v>
      </c>
      <c r="E360" s="32">
        <v>46166</v>
      </c>
      <c r="F360" s="32">
        <v>46196</v>
      </c>
      <c r="G360" s="33">
        <v>76.400476925234955</v>
      </c>
      <c r="H360" s="31">
        <v>64.026371160050502</v>
      </c>
      <c r="I360" s="31">
        <v>81.474821153036885</v>
      </c>
      <c r="J360" s="34">
        <v>84.525178846963115</v>
      </c>
      <c r="K360" s="31">
        <v>2.3777696731659419</v>
      </c>
      <c r="L360" s="31">
        <v>7129</v>
      </c>
      <c r="M360" s="35">
        <v>19.956361341001546</v>
      </c>
      <c r="N360" s="31">
        <v>95</v>
      </c>
      <c r="O360" s="37">
        <v>1.8331944444444459</v>
      </c>
      <c r="P360" s="34">
        <v>15</v>
      </c>
      <c r="Q360" s="31">
        <v>50</v>
      </c>
      <c r="R360" s="35">
        <v>39.979999999999997</v>
      </c>
      <c r="S360" s="31">
        <v>59.99</v>
      </c>
      <c r="T360" s="34">
        <v>0.02</v>
      </c>
      <c r="U360" s="31">
        <v>73.200238462617477</v>
      </c>
      <c r="V360" s="31">
        <v>1</v>
      </c>
    </row>
    <row r="361" spans="1:22" x14ac:dyDescent="0.3">
      <c r="A361" s="3" t="s">
        <v>153</v>
      </c>
      <c r="B361" s="3">
        <v>2026</v>
      </c>
      <c r="C361" s="3" t="s">
        <v>126</v>
      </c>
      <c r="D361" s="3" t="s">
        <v>127</v>
      </c>
      <c r="E361" s="4">
        <v>46166</v>
      </c>
      <c r="F361" s="4">
        <v>46196</v>
      </c>
      <c r="G361" s="9">
        <v>57.426734842951056</v>
      </c>
      <c r="H361" s="3">
        <v>33.423520818115414</v>
      </c>
      <c r="I361" s="3">
        <v>64.286632578524475</v>
      </c>
      <c r="J361" s="14">
        <v>72.856683710737769</v>
      </c>
      <c r="K361" s="3">
        <v>2.7232520087655221</v>
      </c>
      <c r="L361" s="3">
        <v>6845</v>
      </c>
      <c r="M361" s="17">
        <v>31.685536888239596</v>
      </c>
      <c r="N361" s="3">
        <v>109</v>
      </c>
      <c r="O361" s="36">
        <v>2.7833101851851891</v>
      </c>
      <c r="P361" s="14">
        <v>13</v>
      </c>
      <c r="Q361" s="3">
        <v>50</v>
      </c>
      <c r="R361" s="17">
        <v>99.26</v>
      </c>
      <c r="S361" s="3">
        <v>0.7</v>
      </c>
      <c r="T361" s="14">
        <v>0.01</v>
      </c>
      <c r="U361" s="3">
        <v>63.713367421475525</v>
      </c>
      <c r="V361" s="3">
        <v>1</v>
      </c>
    </row>
    <row r="362" spans="1:22" x14ac:dyDescent="0.3">
      <c r="A362" s="31" t="s">
        <v>153</v>
      </c>
      <c r="B362" s="31">
        <v>2026</v>
      </c>
      <c r="C362" s="31" t="s">
        <v>128</v>
      </c>
      <c r="D362" s="31" t="s">
        <v>129</v>
      </c>
      <c r="E362" s="32">
        <v>46166</v>
      </c>
      <c r="F362" s="32">
        <v>46193</v>
      </c>
      <c r="G362" s="33"/>
      <c r="H362" s="31"/>
      <c r="I362" s="31"/>
      <c r="J362" s="34"/>
      <c r="K362" s="31"/>
      <c r="L362" s="31"/>
      <c r="M362" s="35"/>
      <c r="N362" s="31"/>
      <c r="O362" s="31"/>
      <c r="P362" s="34">
        <v>27</v>
      </c>
      <c r="Q362" s="31">
        <v>27</v>
      </c>
      <c r="R362" s="35"/>
      <c r="S362" s="31"/>
      <c r="T362" s="34"/>
      <c r="U362" s="31">
        <v>50</v>
      </c>
      <c r="V362" s="31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Panel</vt:lpstr>
      <vt:lpstr>Historico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Josè Alejandro Hidalgo</cp:lastModifiedBy>
  <dcterms:created xsi:type="dcterms:W3CDTF">2026-06-11T15:30:30Z</dcterms:created>
  <dcterms:modified xsi:type="dcterms:W3CDTF">2026-08-05T17:47:53Z</dcterms:modified>
</cp:coreProperties>
</file>